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9" autoFilterDateGrouping="1"/>
  </bookViews>
  <sheets>
    <sheet name="안내" sheetId="1" state="visible" r:id="rId1"/>
    <sheet name="파라미터" sheetId="2" state="visible" r:id="rId2"/>
    <sheet name="자가점검표_템플릿" sheetId="3" state="visible" r:id="rId3"/>
    <sheet name="자가점검표_홍길동" sheetId="4" state="visible" r:id="rId4"/>
    <sheet name="자가점검표_김영희" sheetId="5" state="visible" r:id="rId5"/>
    <sheet name="자가점검표_이철수" sheetId="6" state="visible" r:id="rId6"/>
    <sheet name="자가점검표_박민수" sheetId="7" state="visible" r:id="rId7"/>
    <sheet name="동료추천_집계" sheetId="8" state="visible" r:id="rId8"/>
    <sheet name="1on1_준비노트" sheetId="9" state="visible" r:id="rId9"/>
    <sheet name="계산_순위표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B0B0B"/>
      <sz val="14"/>
    </font>
    <font>
      <name val="Arial"/>
      <b val="1"/>
      <color rgb="000B0B0B"/>
      <sz val="11"/>
    </font>
    <font>
      <name val="Arial"/>
      <color rgb="000B0B0B"/>
      <sz val="10"/>
    </font>
    <font>
      <name val="Arial"/>
      <b val="1"/>
      <color rgb="00FFFFFF"/>
      <sz val="11"/>
    </font>
    <font>
      <name val="Arial"/>
      <b val="1"/>
      <color rgb="000B0B0B"/>
    </font>
    <font>
      <name val="Arial"/>
      <i val="1"/>
      <color rgb="00898781"/>
      <sz val="9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3C2B7"/>
      </left>
      <right style="thin">
        <color rgb="00C3C2B7"/>
      </right>
      <top style="thin">
        <color rgb="00C3C2B7"/>
      </top>
      <bottom style="thin">
        <color rgb="00C3C2B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5" fillId="3" borderId="1" applyAlignment="1" pivotButton="0" quotePrefix="0" xfId="0">
      <alignment horizontal="center"/>
    </xf>
    <xf numFmtId="0" fontId="2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wrapText="1"/>
    </xf>
    <xf numFmtId="0" fontId="3" fillId="0" borderId="1" applyAlignment="1" pivotButton="0" quotePrefix="0" xfId="0">
      <alignment vertical="top" wrapText="1"/>
    </xf>
    <xf numFmtId="0" fontId="4" fillId="2" borderId="0" pivotButton="0" quotePrefix="0" xfId="0"/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6" customHeight="1">
      <c r="A1" s="1" t="inlineStr">
        <is>
          <t>구성원 성과 자가점검 · 고과 순위산정 워크북 사용 안내</t>
        </is>
      </c>
    </row>
    <row r="3">
      <c r="B3" s="2" t="inlineStr">
        <is>
          <t>1. 전체 프로세스</t>
        </is>
      </c>
    </row>
    <row r="4">
      <c r="B4" s="3" t="inlineStr">
        <is>
          <t xml:space="preserve">  ① 구성원 배포용 개인 파일(구성원_배포용/자가점검표_&lt;이름&gt;.xlsx)을 나눠주고 작성받습니다.</t>
        </is>
      </c>
    </row>
    <row r="5">
      <c r="B5" s="3" t="inlineStr">
        <is>
          <t xml:space="preserve">  ② 관리자가 회신받은 값을 이 워크북의 '자가점검표_&lt;이름&gt;' 시트에 붙여넣습니다(B3:B42, 값 붙여넣기).</t>
        </is>
      </c>
    </row>
    <row r="6">
      <c r="B6" s="3" t="inlineStr">
        <is>
          <t xml:space="preserve">  ③ '동료추천_집계' 시트가 각 구성원 시트의 동료 추천 내용을 자동으로 모으고 추천 횟수를 집계합니다.</t>
        </is>
      </c>
    </row>
    <row r="7">
      <c r="B7" s="3" t="inlineStr">
        <is>
          <t xml:space="preserve">  ④ '계산_순위표' 시트가 자가점검표의 정량 항목으로 '자가점검 기준점수'를 계산합니다.</t>
        </is>
      </c>
    </row>
    <row r="8">
      <c r="B8" s="3" t="inlineStr">
        <is>
          <t xml:space="preserve">  ⑤ 팀장이 '1on1_준비노트' 시트에서 필요한 경우에만 조정점수(-10~+10)를 매기고 리뷰 메모를 남깁니다. 이 조정점수가 기준점수에 더해져 최종점수가 됩니다.</t>
        </is>
      </c>
    </row>
    <row r="9">
      <c r="B9" s="3" t="inlineStr">
        <is>
          <t xml:space="preserve">  ⑥ '계산_순위표' 시트를 CSV로 저장하거나, 구성원 개인 파일들을 ranking_dashboard.html에 그대로 업로드해 그래프로 확인합니다.</t>
        </is>
      </c>
    </row>
    <row r="10">
      <c r="B10" s="3" t="inlineStr"/>
    </row>
    <row r="11">
      <c r="B11" s="2" t="inlineStr">
        <is>
          <t>2. 색상 규칙</t>
        </is>
      </c>
    </row>
    <row r="12">
      <c r="B12" s="3" t="inlineStr">
        <is>
          <t xml:space="preserve">  - 파란색 글자: 사람이 직접 입력하는 칸</t>
        </is>
      </c>
    </row>
    <row r="13">
      <c r="B13" s="3" t="inlineStr">
        <is>
          <t xml:space="preserve">  - 검은색 글자: 수식으로 자동 계산되는 칸 (직접 수정하지 마세요)</t>
        </is>
      </c>
    </row>
    <row r="14">
      <c r="B14" s="3" t="inlineStr">
        <is>
          <t xml:space="preserve">  - 노란색 배경: 가중치 등 조정 가능한 파라미터 칸 ('파라미터' 시트)</t>
        </is>
      </c>
    </row>
    <row r="15">
      <c r="B15" s="3" t="inlineStr"/>
    </row>
    <row r="16">
      <c r="B16" s="2" t="inlineStr">
        <is>
          <t>3. 모든 항목이 정량화된 이유 + 최소한의 팀장 검수</t>
        </is>
      </c>
    </row>
    <row r="17">
      <c r="B17" s="3" t="inlineStr">
        <is>
          <t xml:space="preserve">  - 모든 성과/역량 항목은 '정량 목표 -&gt; 달성 결과 -&gt; 자가평가 점수(1~10)' 3단 구조입니다.</t>
        </is>
      </c>
    </row>
    <row r="18">
      <c r="B18" s="3" t="inlineStr">
        <is>
          <t xml:space="preserve">  - 자가점검 항목의 가중합인 '자가점검 기준점수'는 전적으로 정량 항목으로만 계산됩니다.</t>
        </is>
      </c>
    </row>
    <row r="19">
      <c r="B19" s="3" t="inlineStr">
        <is>
          <t xml:space="preserve">  - 다만 자가점수 부풀리기를 막기 위해, 팀장이 '1on1_준비노트'에서 -10~+10점의 소폭 조정점수를 매길 수 있습니다(가중치 없이 그대로 더해짐, 기본값 0).</t>
        </is>
      </c>
    </row>
    <row r="20">
      <c r="B20" s="3" t="inlineStr">
        <is>
          <t xml:space="preserve">  - 동료에게 추천받은 구성원에게는 추천 1회당 +1점의 추천가산점이 상한 없이 별도로 더해집니다(동료환산점수 20% 가중치와는 별개).</t>
        </is>
      </c>
    </row>
    <row r="21">
      <c r="B21" s="3" t="inlineStr">
        <is>
          <t xml:space="preserve">  - 1~5점짜리 별도 정성평가 항목은 두지 않습니다 — 조정점수·가산점은 어디까지나 자가점검 결과에 대한 보정입니다.</t>
        </is>
      </c>
    </row>
    <row r="22">
      <c r="B22" s="3" t="inlineStr"/>
    </row>
    <row r="23">
      <c r="B23" s="2" t="inlineStr">
        <is>
          <t>4. 신규 구성원 추가 방법</t>
        </is>
      </c>
    </row>
    <row r="24">
      <c r="B24" s="3" t="inlineStr">
        <is>
          <t xml:space="preserve">  ① '자가점검표_템플릿' 시트를 복제하고 시트명을 '자가점검표_홍길동'처럼 '자가점검표_&lt;이름&gt;'으로 변경</t>
        </is>
      </c>
    </row>
    <row r="25">
      <c r="B25" s="3" t="inlineStr">
        <is>
          <t xml:space="preserve">  ② '동료추천_집계', '1on1_준비노트', '계산_순위표' 각 표의 마지막 행 아래에 새 행을 추가하고, 이름 칸에 이름을 입력한 뒤 윗 행의 수식을 그대로 복사(드래그)합니다.</t>
        </is>
      </c>
    </row>
    <row r="26">
      <c r="B26" s="3" t="inlineStr"/>
    </row>
    <row r="27">
      <c r="B27" s="2" t="inlineStr">
        <is>
          <t>5. 점수 산식 (파라미터 시트에서 가중치 조정 가능)</t>
        </is>
      </c>
    </row>
    <row r="28">
      <c r="B28" s="3" t="inlineStr">
        <is>
          <t xml:space="preserve">  - 성과환산점수(100) = AVERAGE(중점과제1~3 점수, 추가과제 점수, 아쉬운성과 점수, 기여도 점수, 성과도 점수) × 10   (7개 항목 동일 가중치 평균)</t>
        </is>
      </c>
    </row>
    <row r="29">
      <c r="B29" s="3" t="inlineStr">
        <is>
          <t xml:space="preserve">  - 역량환산점수(100) = 전문성강화 점수(1~10→40점) + 학점환산(SKHU+mySuni, 상한 20학점→30점) + AI자가점수(1~10→30점)</t>
        </is>
      </c>
    </row>
    <row r="30">
      <c r="B30" s="3" t="inlineStr">
        <is>
          <t xml:space="preserve">  - 동료환산점수(100) = MIN(추천받은 횟수, 상한 4회) / 4 × 100</t>
        </is>
      </c>
    </row>
    <row r="31">
      <c r="B31" s="3" t="inlineStr">
        <is>
          <t xml:space="preserve">  - 자가점검 기준점수 = 성과환산×60% + 역량환산×20% + 동료환산×20% (기본값, '파라미터' 시트에서 조정 가능)</t>
        </is>
      </c>
    </row>
    <row r="32">
      <c r="B32" s="3" t="inlineStr">
        <is>
          <t xml:space="preserve">  - 추천가산점 = 추천받은 횟수 × 1점 (상한 없음, 동료환산점수 20% 가중치와 별개로 추가되는 보너스)</t>
        </is>
      </c>
    </row>
    <row r="33">
      <c r="B33" s="3" t="inlineStr">
        <is>
          <t xml:space="preserve">  - 최종점수 = MAX(0, MIN(100, 자가점검 기준점수 + 팀장 조정점수 + 추천가산점))</t>
        </is>
      </c>
    </row>
    <row r="34">
      <c r="B34" s="3" t="inlineStr"/>
    </row>
    <row r="35">
      <c r="B35" s="2" t="inlineStr">
        <is>
          <t>6. 참고</t>
        </is>
      </c>
    </row>
    <row r="36">
      <c r="B36" s="3" t="inlineStr">
        <is>
          <t xml:space="preserve">  - 이 워크북은 완전 오프라인으로 동작하며 외부 네트워크 연결이 필요하지 않습니다.</t>
        </is>
      </c>
    </row>
    <row r="37">
      <c r="B37" s="3" t="inlineStr">
        <is>
          <t xml:space="preserve">  - ranking_dashboard.html은 구성원 개인 자가점검표(.xlsx) 여러 개를 한 번에 업로드해 전체 통계와 개인별 1:1 화면을 보여줍니다.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44" customWidth="1" min="3" max="3"/>
  </cols>
  <sheetData>
    <row r="1" ht="22" customHeight="1">
      <c r="A1" s="1" t="inlineStr">
        <is>
          <t>점수 산정 파라미터 (노란 칸만 수정)</t>
        </is>
      </c>
    </row>
    <row r="3" ht="20" customHeight="1">
      <c r="A3" s="4" t="inlineStr">
        <is>
          <t>전체 가중치 (성과/역량/동료평가)</t>
        </is>
      </c>
    </row>
    <row r="4">
      <c r="A4" s="5" t="inlineStr">
        <is>
          <t>성과(What) 가중치</t>
        </is>
      </c>
      <c r="B4" s="6" t="n">
        <v>0.6</v>
      </c>
    </row>
    <row r="5">
      <c r="A5" s="5" t="inlineStr">
        <is>
          <t>역량(How) 가중치</t>
        </is>
      </c>
      <c r="B5" s="6" t="n">
        <v>0.2</v>
      </c>
    </row>
    <row r="6">
      <c r="A6" s="5" t="inlineStr">
        <is>
          <t>동료평가(Peer) 가중치</t>
        </is>
      </c>
      <c r="B6" s="6" t="n">
        <v>0.2</v>
      </c>
    </row>
    <row r="7">
      <c r="A7" s="5" t="inlineStr">
        <is>
          <t>합계 검증</t>
        </is>
      </c>
      <c r="B7" s="5">
        <f>SUM(B4:B6)</f>
        <v/>
      </c>
      <c r="C7" s="5">
        <f>IF(ROUND(B7,4)=1,"OK","※ 합계가 100%가 아닙니다")</f>
        <v/>
      </c>
    </row>
    <row r="9">
      <c r="A9" s="7" t="inlineStr">
        <is>
          <t>성과(What) 세부 산식</t>
        </is>
      </c>
    </row>
    <row r="10">
      <c r="A10" s="8" t="inlineStr">
        <is>
          <t>성과환산점수는 중점과제1~3 · 추가과제 · 아쉬운성과 · 기여도 · 성과도, 총 7개 정량 항목(1~10)의 단순 평균 × 10 입니다.</t>
        </is>
      </c>
    </row>
    <row r="12" ht="20" customHeight="1">
      <c r="A12" s="4" t="inlineStr">
        <is>
          <t>역량(How) 세부 가중치 (100점 기준)</t>
        </is>
      </c>
    </row>
    <row r="13">
      <c r="A13" s="5" t="inlineStr">
        <is>
          <t>전문성 강화노력 점수 가중치</t>
        </is>
      </c>
      <c r="B13" s="6" t="n">
        <v>40</v>
      </c>
    </row>
    <row r="14">
      <c r="A14" s="5" t="inlineStr">
        <is>
          <t>학점 환산 가중치 (SKHU+mySuni)</t>
        </is>
      </c>
      <c r="B14" s="6" t="n">
        <v>30</v>
      </c>
    </row>
    <row r="15">
      <c r="A15" s="5" t="inlineStr">
        <is>
          <t>AI 활용 역량 자가점수 가중치</t>
        </is>
      </c>
      <c r="B15" s="6" t="n">
        <v>30</v>
      </c>
    </row>
    <row r="16">
      <c r="A16" s="5" t="inlineStr">
        <is>
          <t>세부 합계 검증</t>
        </is>
      </c>
      <c r="B16" s="5">
        <f>SUM(B13:B15)</f>
        <v/>
      </c>
      <c r="C16" s="5">
        <f>IF(B16=100,"OK","※ 합계가 100이 아닙니다")</f>
        <v/>
      </c>
    </row>
    <row r="18" ht="20" customHeight="1">
      <c r="A18" s="4" t="inlineStr">
        <is>
          <t>환산 상한값</t>
        </is>
      </c>
    </row>
    <row r="19">
      <c r="A19" s="5" t="inlineStr">
        <is>
          <t>학점 만점 기준 상한 (SKHU+mySuni 합)</t>
        </is>
      </c>
      <c r="B19" s="6" t="n">
        <v>20</v>
      </c>
      <c r="C19" s="9" t="inlineStr">
        <is>
          <t>이 학점 이상이면 학점환산 만점</t>
        </is>
      </c>
    </row>
    <row r="20">
      <c r="A20" s="5" t="inlineStr">
        <is>
          <t>동료추천 만점 기준 상한 (횟수)</t>
        </is>
      </c>
      <c r="B20" s="6" t="n">
        <v>4</v>
      </c>
      <c r="C20" s="9" t="inlineStr">
        <is>
          <t>이 횟수 이상 추천받으면 동료환산 만점(100점)</t>
        </is>
      </c>
    </row>
  </sheetData>
  <mergeCells count="5">
    <mergeCell ref="A10:C10"/>
    <mergeCell ref="A12:E12"/>
    <mergeCell ref="A1:C1"/>
    <mergeCell ref="A18:E18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4" customWidth="1" min="4" max="4"/>
    <col width="14" customWidth="1" min="5" max="5"/>
  </cols>
  <sheetData>
    <row r="1" ht="24" customHeight="1">
      <c r="A1" s="1" t="inlineStr">
        <is>
          <t>구성원 성과 자가점검표 (정량 목표 기반)</t>
        </is>
      </c>
    </row>
    <row r="3">
      <c r="A3" s="5" t="inlineStr">
        <is>
          <t>이름</t>
        </is>
      </c>
      <c r="B3" s="10" t="inlineStr">
        <is>
          <t>(이름 입력)</t>
        </is>
      </c>
    </row>
    <row r="4">
      <c r="A4" s="5" t="inlineStr">
        <is>
          <t>파트/팀</t>
        </is>
      </c>
      <c r="B4" s="10" t="inlineStr">
        <is>
          <t>(파트 입력)</t>
        </is>
      </c>
    </row>
    <row r="5">
      <c r="A5" s="5" t="inlineStr">
        <is>
          <t>직급</t>
        </is>
      </c>
      <c r="B5" s="10" t="inlineStr">
        <is>
          <t>(직급 입력)</t>
        </is>
      </c>
    </row>
    <row r="6">
      <c r="A6" s="5" t="inlineStr">
        <is>
          <t>평가연도</t>
        </is>
      </c>
      <c r="B6" s="10" t="inlineStr">
        <is>
          <t>2026</t>
        </is>
      </c>
    </row>
    <row r="8" ht="20" customHeight="1">
      <c r="A8" s="4" t="inlineStr">
        <is>
          <t>Ⅰ. 성과 (What) — 정량 목표 → 달성 결과 → 자가평가 점수(1~10)</t>
        </is>
      </c>
    </row>
    <row r="9" ht="28" customHeight="1">
      <c r="A9" s="5" t="inlineStr">
        <is>
          <t>중점과제 1순위 — 과제명 및 정량 목표</t>
        </is>
      </c>
      <c r="B9" s="10" t="inlineStr"/>
    </row>
    <row r="10" ht="28" customHeight="1">
      <c r="A10" s="5" t="inlineStr">
        <is>
          <t>달성 결과 (정량)</t>
        </is>
      </c>
      <c r="B10" s="10" t="inlineStr"/>
    </row>
    <row r="11">
      <c r="A11" s="5" t="inlineStr">
        <is>
          <t>자가평가 점수 (1~10)</t>
        </is>
      </c>
      <c r="B11" s="10" t="n"/>
    </row>
    <row r="12" ht="28" customHeight="1">
      <c r="A12" s="5" t="inlineStr">
        <is>
          <t>중점과제 2순위 — 과제명 및 정량 목표</t>
        </is>
      </c>
      <c r="B12" s="10" t="inlineStr"/>
    </row>
    <row r="13" ht="28" customHeight="1">
      <c r="A13" s="5" t="inlineStr">
        <is>
          <t>달성 결과 (정량)</t>
        </is>
      </c>
      <c r="B13" s="10" t="inlineStr"/>
    </row>
    <row r="14">
      <c r="A14" s="5" t="inlineStr">
        <is>
          <t>자가평가 점수 (1~10)</t>
        </is>
      </c>
      <c r="B14" s="10" t="n"/>
    </row>
    <row r="15" ht="28" customHeight="1">
      <c r="A15" s="5" t="inlineStr">
        <is>
          <t>중점과제 3순위 — 과제명 및 정량 목표</t>
        </is>
      </c>
      <c r="B15" s="10" t="inlineStr"/>
    </row>
    <row r="16" ht="28" customHeight="1">
      <c r="A16" s="5" t="inlineStr">
        <is>
          <t>달성 결과 (정량)</t>
        </is>
      </c>
      <c r="B16" s="10" t="inlineStr"/>
    </row>
    <row r="17">
      <c r="A17" s="5" t="inlineStr">
        <is>
          <t>자가평가 점수 (1~10)</t>
        </is>
      </c>
      <c r="B17" s="10" t="n"/>
    </row>
    <row r="18" ht="28" customHeight="1">
      <c r="A18" s="5" t="inlineStr">
        <is>
          <t>추가 과제 — 과제명 및 정량 목표</t>
        </is>
      </c>
      <c r="B18" s="10" t="inlineStr"/>
    </row>
    <row r="19" ht="28" customHeight="1">
      <c r="A19" s="5" t="inlineStr">
        <is>
          <t>달성 결과 (정량)</t>
        </is>
      </c>
      <c r="B19" s="10" t="inlineStr"/>
    </row>
    <row r="20">
      <c r="A20" s="5" t="inlineStr">
        <is>
          <t>자가평가 점수 (1~10)</t>
        </is>
      </c>
      <c r="B20" s="10" t="n"/>
    </row>
    <row r="21" ht="28" customHeight="1">
      <c r="A21" s="5" t="inlineStr">
        <is>
          <t>가장 아쉬운 성과 (목표 대비 부족했던 점, 정량 포함)</t>
        </is>
      </c>
      <c r="B21" s="10" t="inlineStr"/>
    </row>
    <row r="22">
      <c r="A22" s="5" t="inlineStr">
        <is>
          <t>자가평가 점수 (1~10, 낮을수록 아쉬움이 컸음)</t>
        </is>
      </c>
      <c r="B22" s="10" t="n"/>
    </row>
    <row r="23">
      <c r="A23" s="5" t="inlineStr">
        <is>
          <t>팀 기여도 — 근거 (선택)</t>
        </is>
      </c>
      <c r="B23" s="10" t="inlineStr"/>
    </row>
    <row r="24">
      <c r="A24" s="5" t="inlineStr">
        <is>
          <t>내가 팀 성과에 기여한 정도 (1~10, 정량)</t>
        </is>
      </c>
      <c r="B24" s="10" t="n"/>
    </row>
    <row r="25">
      <c r="A25" s="5" t="inlineStr">
        <is>
          <t>종합 성과 자가평가 — 근거 (선택)</t>
        </is>
      </c>
      <c r="B25" s="10" t="inlineStr"/>
    </row>
    <row r="26">
      <c r="A26" s="5" t="inlineStr">
        <is>
          <t>자신의 역할에 비추어 올해 성과도 자가평가 (1~10, 정량)</t>
        </is>
      </c>
      <c r="B26" s="10" t="n"/>
    </row>
    <row r="28" ht="20" customHeight="1">
      <c r="A28" s="4" t="inlineStr">
        <is>
          <t>Ⅱ. 역량 (How) — 정량 목표 → 달성 결과 → 자가평가 점수(1~10)</t>
        </is>
      </c>
    </row>
    <row r="29" ht="28" customHeight="1">
      <c r="A29" s="5" t="inlineStr">
        <is>
          <t>전문성 강화를 위한 노력 — 정량 목표</t>
        </is>
      </c>
      <c r="B29" s="10" t="inlineStr"/>
    </row>
    <row r="30" ht="28" customHeight="1">
      <c r="A30" s="5" t="inlineStr">
        <is>
          <t>달성 결과 (정량)</t>
        </is>
      </c>
      <c r="B30" s="10" t="inlineStr"/>
    </row>
    <row r="31">
      <c r="A31" s="5" t="inlineStr">
        <is>
          <t>자가평가 점수 (1~10)</t>
        </is>
      </c>
      <c r="B31" s="10" t="n"/>
    </row>
    <row r="32">
      <c r="A32" s="5" t="inlineStr">
        <is>
          <t>지식측면: SKHU 수료 학점</t>
        </is>
      </c>
      <c r="B32" s="10" t="n"/>
    </row>
    <row r="33">
      <c r="A33" s="5" t="inlineStr">
        <is>
          <t>지식측면: mySuni 수료 학점</t>
        </is>
      </c>
      <c r="B33" s="10" t="n"/>
    </row>
    <row r="34" ht="28" customHeight="1">
      <c r="A34" s="5" t="inlineStr">
        <is>
          <t>AI 활용 역량 — 정량 목표 (예: 월 N회 이상 활용)</t>
        </is>
      </c>
      <c r="B34" s="10" t="inlineStr"/>
    </row>
    <row r="35" ht="28" customHeight="1">
      <c r="A35" s="5" t="inlineStr">
        <is>
          <t>달성 결과 (정량)</t>
        </is>
      </c>
      <c r="B35" s="10" t="inlineStr"/>
    </row>
    <row r="36">
      <c r="A36" s="5" t="inlineStr">
        <is>
          <t>자가평가 점수 (1~10)</t>
        </is>
      </c>
      <c r="B36" s="10" t="n"/>
    </row>
    <row r="38" ht="20" customHeight="1">
      <c r="A38" s="4" t="inlineStr">
        <is>
          <t>Ⅲ. 동료평가 (Peer) 추천 — 본인파트 1명 + 타파트 1명</t>
        </is>
      </c>
    </row>
    <row r="39">
      <c r="A39" s="5" t="inlineStr">
        <is>
          <t>본인 파트 추천 동료 - 이름</t>
        </is>
      </c>
      <c r="B39" s="10" t="inlineStr"/>
    </row>
    <row r="40" ht="28" customHeight="1">
      <c r="A40" s="5" t="inlineStr">
        <is>
          <t>본인 파트 추천 동료 - 추천 사유</t>
        </is>
      </c>
      <c r="B40" s="10" t="inlineStr"/>
    </row>
    <row r="41">
      <c r="A41" s="5" t="inlineStr">
        <is>
          <t>타 파트 추천 동료 - 이름</t>
        </is>
      </c>
      <c r="B41" s="10" t="inlineStr"/>
    </row>
    <row r="42" ht="28" customHeight="1">
      <c r="A42" s="5" t="inlineStr">
        <is>
          <t>타 파트 추천 동료 - 추천 사유</t>
        </is>
      </c>
      <c r="B42" s="10" t="inlineStr"/>
    </row>
    <row r="44">
      <c r="A44" s="11" t="inlineStr">
        <is>
          <t>※ 이 시트를 복제하여 시트명을 '자가점검표_&lt;이름&gt;' 형식으로 변경한 뒤 사용하세요. 파란색 글자 칸(B열)만 입력하면 됩니다. 모든 항목은 '정량 목표 -&gt; 달성 결과 -&gt; 자가평가 점수(1~10)' 3단으로 구성되어 있으니, 목표와 결과에는 가능한 숫자(%, 건수, 일수, 시간 등)를 포함해 적어주세요. 점수 항목은 1~10 사이 정수만 허용됩니다.</t>
        </is>
      </c>
    </row>
    <row r="45"/>
    <row r="46"/>
  </sheetData>
  <mergeCells count="39">
    <mergeCell ref="B40:E40"/>
    <mergeCell ref="B9:E9"/>
    <mergeCell ref="B6:E6"/>
    <mergeCell ref="B30:E30"/>
    <mergeCell ref="B15:E15"/>
    <mergeCell ref="B33:E33"/>
    <mergeCell ref="A1:E1"/>
    <mergeCell ref="B24:E24"/>
    <mergeCell ref="B5:E5"/>
    <mergeCell ref="B20:E20"/>
    <mergeCell ref="B36:E36"/>
    <mergeCell ref="B32:E32"/>
    <mergeCell ref="B26:E26"/>
    <mergeCell ref="B41:E41"/>
    <mergeCell ref="B35:E35"/>
    <mergeCell ref="B4:E4"/>
    <mergeCell ref="B16:E16"/>
    <mergeCell ref="A44:E46"/>
    <mergeCell ref="B25:E25"/>
    <mergeCell ref="B3:E3"/>
    <mergeCell ref="B22:E22"/>
    <mergeCell ref="B31:E31"/>
    <mergeCell ref="B18:E18"/>
    <mergeCell ref="B12:E12"/>
    <mergeCell ref="B21:E21"/>
    <mergeCell ref="B39:E39"/>
    <mergeCell ref="B11:E11"/>
    <mergeCell ref="A8:E8"/>
    <mergeCell ref="B42:E42"/>
    <mergeCell ref="B14:E14"/>
    <mergeCell ref="B17:E17"/>
    <mergeCell ref="B23:E23"/>
    <mergeCell ref="A38:E38"/>
    <mergeCell ref="B13:E13"/>
    <mergeCell ref="A28:E28"/>
    <mergeCell ref="B29:E29"/>
    <mergeCell ref="B19:E19"/>
    <mergeCell ref="B34:E34"/>
    <mergeCell ref="B10:E10"/>
  </mergeCells>
  <dataValidations count="2">
    <dataValidation sqref="B11 B14 B17 B20 B22 B24 B26 B31 B36" showDropDown="0" showInputMessage="0" showErrorMessage="0" allowBlank="1" errorTitle="입력 오류" error="1~10 사이의 정수를 입력하세요." type="whole" operator="between">
      <formula1>1</formula1>
      <formula2>10</formula2>
    </dataValidation>
    <dataValidation sqref="B32 B33" showDropDown="0" showInputMessage="0" showErrorMessage="0" allowBlank="1" errorTitle="입력 오류" error="0 이상의 숫자를 입력하세요.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4" customWidth="1" min="4" max="4"/>
    <col width="14" customWidth="1" min="5" max="5"/>
  </cols>
  <sheetData>
    <row r="1" ht="24" customHeight="1">
      <c r="A1" s="1" t="inlineStr">
        <is>
          <t>구성원 성과 자가점검표 (정량 목표 기반)</t>
        </is>
      </c>
    </row>
    <row r="3">
      <c r="A3" s="5" t="inlineStr">
        <is>
          <t>이름</t>
        </is>
      </c>
      <c r="B3" s="10" t="inlineStr">
        <is>
          <t>홍길동</t>
        </is>
      </c>
    </row>
    <row r="4">
      <c r="A4" s="5" t="inlineStr">
        <is>
          <t>파트/팀</t>
        </is>
      </c>
      <c r="B4" s="10" t="inlineStr">
        <is>
          <t>개발파트</t>
        </is>
      </c>
    </row>
    <row r="5">
      <c r="A5" s="5" t="inlineStr">
        <is>
          <t>직급</t>
        </is>
      </c>
      <c r="B5" s="10" t="inlineStr">
        <is>
          <t>선임</t>
        </is>
      </c>
    </row>
    <row r="6">
      <c r="A6" s="5" t="inlineStr">
        <is>
          <t>평가연도</t>
        </is>
      </c>
      <c r="B6" s="10" t="inlineStr">
        <is>
          <t>2026</t>
        </is>
      </c>
    </row>
    <row r="8" ht="20" customHeight="1">
      <c r="A8" s="4" t="inlineStr">
        <is>
          <t>Ⅰ. 성과 (What) — 정량 목표 → 달성 결과 → 자가평가 점수(1~10)</t>
        </is>
      </c>
    </row>
    <row r="9" ht="28" customHeight="1">
      <c r="A9" s="5" t="inlineStr">
        <is>
          <t>중점과제 1순위 — 과제명 및 정량 목표</t>
        </is>
      </c>
      <c r="B9" s="10" t="inlineStr">
        <is>
          <t>공정 수율 개선 — 목표: 수율 95% 이상</t>
        </is>
      </c>
    </row>
    <row r="10" ht="28" customHeight="1">
      <c r="A10" s="5" t="inlineStr">
        <is>
          <t>달성 결과 (정량)</t>
        </is>
      </c>
      <c r="B10" s="10" t="inlineStr">
        <is>
          <t>수율 96.2% 달성(목표 대비 +1.2%p), 불량률 30% 감소</t>
        </is>
      </c>
    </row>
    <row r="11">
      <c r="A11" s="5" t="inlineStr">
        <is>
          <t>자가평가 점수 (1~10)</t>
        </is>
      </c>
      <c r="B11" s="10" t="n">
        <v>9</v>
      </c>
    </row>
    <row r="12" ht="28" customHeight="1">
      <c r="A12" s="5" t="inlineStr">
        <is>
          <t>중점과제 2순위 — 과제명 및 정량 목표</t>
        </is>
      </c>
      <c r="B12" s="10" t="inlineStr">
        <is>
          <t>설비 예방정비 체계 고도화 — 목표: 비가동시간 10% 이상 단축</t>
        </is>
      </c>
    </row>
    <row r="13" ht="28" customHeight="1">
      <c r="A13" s="5" t="inlineStr">
        <is>
          <t>달성 결과 (정량)</t>
        </is>
      </c>
      <c r="B13" s="10" t="inlineStr">
        <is>
          <t>비가동시간 15% 단축 달성</t>
        </is>
      </c>
    </row>
    <row r="14">
      <c r="A14" s="5" t="inlineStr">
        <is>
          <t>자가평가 점수 (1~10)</t>
        </is>
      </c>
      <c r="B14" s="10" t="n">
        <v>8</v>
      </c>
    </row>
    <row r="15" ht="28" customHeight="1">
      <c r="A15" s="5" t="inlineStr">
        <is>
          <t>중점과제 3순위 — 과제명 및 정량 목표</t>
        </is>
      </c>
      <c r="B15" s="10" t="inlineStr">
        <is>
          <t>신규 라인 셋업 지원 — 목표: 셋업 기간 3주 이내</t>
        </is>
      </c>
    </row>
    <row r="16" ht="28" customHeight="1">
      <c r="A16" s="5" t="inlineStr">
        <is>
          <t>달성 결과 (정량)</t>
        </is>
      </c>
      <c r="B16" s="10" t="inlineStr">
        <is>
          <t>셋업 기간 2주로 단축, 목표 초과 달성</t>
        </is>
      </c>
    </row>
    <row r="17">
      <c r="A17" s="5" t="inlineStr">
        <is>
          <t>자가평가 점수 (1~10)</t>
        </is>
      </c>
      <c r="B17" s="10" t="n">
        <v>9</v>
      </c>
    </row>
    <row r="18" ht="28" customHeight="1">
      <c r="A18" s="5" t="inlineStr">
        <is>
          <t>추가 과제 — 과제명 및 정량 목표</t>
        </is>
      </c>
      <c r="B18" s="10" t="inlineStr">
        <is>
          <t>사내 데이터 분석 스터디 운영 — 목표: 분기 4회 이상</t>
        </is>
      </c>
    </row>
    <row r="19" ht="28" customHeight="1">
      <c r="A19" s="5" t="inlineStr">
        <is>
          <t>달성 결과 (정량)</t>
        </is>
      </c>
      <c r="B19" s="10" t="inlineStr">
        <is>
          <t>분기 4회 진행 완료</t>
        </is>
      </c>
    </row>
    <row r="20">
      <c r="A20" s="5" t="inlineStr">
        <is>
          <t>자가평가 점수 (1~10)</t>
        </is>
      </c>
      <c r="B20" s="10" t="n">
        <v>7</v>
      </c>
    </row>
    <row r="21" ht="28" customHeight="1">
      <c r="A21" s="5" t="inlineStr">
        <is>
          <t>가장 아쉬운 성과 (목표 대비 부족했던 점, 정량 포함)</t>
        </is>
      </c>
      <c r="B21" s="10" t="inlineStr">
        <is>
          <t>설비 장애 대응 매뉴얼 개정(목표: 상반기 완료) 대비 3주 지연</t>
        </is>
      </c>
    </row>
    <row r="22">
      <c r="A22" s="5" t="inlineStr">
        <is>
          <t>자가평가 점수 (1~10, 낮을수록 아쉬움이 컸음)</t>
        </is>
      </c>
      <c r="B22" s="10" t="n">
        <v>6</v>
      </c>
    </row>
    <row r="23">
      <c r="A23" s="5" t="inlineStr">
        <is>
          <t>팀 기여도 — 근거 (선택)</t>
        </is>
      </c>
      <c r="B23" s="10" t="inlineStr">
        <is>
          <t>핵심 과제 3건 모두 목표 초과 달성으로 팀 KPI 기여</t>
        </is>
      </c>
    </row>
    <row r="24">
      <c r="A24" s="5" t="inlineStr">
        <is>
          <t>내가 팀 성과에 기여한 정도 (1~10, 정량)</t>
        </is>
      </c>
      <c r="B24" s="10" t="n">
        <v>8</v>
      </c>
    </row>
    <row r="25">
      <c r="A25" s="5" t="inlineStr">
        <is>
          <t>종합 성과 자가평가 — 근거 (선택)</t>
        </is>
      </c>
      <c r="B25" s="10" t="inlineStr">
        <is>
          <t>선임으로서 후배 멘토링 포함 종합 성과</t>
        </is>
      </c>
    </row>
    <row r="26">
      <c r="A26" s="5" t="inlineStr">
        <is>
          <t>자신의 역할에 비추어 올해 성과도 자가평가 (1~10, 정량)</t>
        </is>
      </c>
      <c r="B26" s="10" t="n">
        <v>8</v>
      </c>
    </row>
    <row r="28" ht="20" customHeight="1">
      <c r="A28" s="4" t="inlineStr">
        <is>
          <t>Ⅱ. 역량 (How) — 정량 목표 → 달성 결과 → 자가평가 점수(1~10)</t>
        </is>
      </c>
    </row>
    <row r="29" ht="28" customHeight="1">
      <c r="A29" s="5" t="inlineStr">
        <is>
          <t>전문성 강화를 위한 노력 — 정량 목표</t>
        </is>
      </c>
      <c r="B29" s="10" t="inlineStr">
        <is>
          <t>통계 분석 사내교육 40시간 이수</t>
        </is>
      </c>
    </row>
    <row r="30" ht="28" customHeight="1">
      <c r="A30" s="5" t="inlineStr">
        <is>
          <t>달성 결과 (정량)</t>
        </is>
      </c>
      <c r="B30" s="10" t="inlineStr">
        <is>
          <t>42시간 이수 완료</t>
        </is>
      </c>
    </row>
    <row r="31">
      <c r="A31" s="5" t="inlineStr">
        <is>
          <t>자가평가 점수 (1~10)</t>
        </is>
      </c>
      <c r="B31" s="10" t="n">
        <v>8</v>
      </c>
    </row>
    <row r="32">
      <c r="A32" s="5" t="inlineStr">
        <is>
          <t>지식측면: SKHU 수료 학점</t>
        </is>
      </c>
      <c r="B32" s="10" t="n">
        <v>6</v>
      </c>
    </row>
    <row r="33">
      <c r="A33" s="5" t="inlineStr">
        <is>
          <t>지식측면: mySuni 수료 학점</t>
        </is>
      </c>
      <c r="B33" s="10" t="n">
        <v>4</v>
      </c>
    </row>
    <row r="34" ht="28" customHeight="1">
      <c r="A34" s="5" t="inlineStr">
        <is>
          <t>AI 활용 역량 — 정량 목표 (예: 월 N회 이상 활용)</t>
        </is>
      </c>
      <c r="B34" s="10" t="inlineStr">
        <is>
          <t>업무에 AI 도구 월 4회 이상 활용</t>
        </is>
      </c>
    </row>
    <row r="35" ht="28" customHeight="1">
      <c r="A35" s="5" t="inlineStr">
        <is>
          <t>달성 결과 (정량)</t>
        </is>
      </c>
      <c r="B35" s="10" t="inlineStr">
        <is>
          <t>월 평균 6회 활용(이상탐지 모델 프로토타입 등)</t>
        </is>
      </c>
    </row>
    <row r="36">
      <c r="A36" s="5" t="inlineStr">
        <is>
          <t>자가평가 점수 (1~10)</t>
        </is>
      </c>
      <c r="B36" s="10" t="n">
        <v>8</v>
      </c>
    </row>
    <row r="38" ht="20" customHeight="1">
      <c r="A38" s="4" t="inlineStr">
        <is>
          <t>Ⅲ. 동료평가 (Peer) 추천 — 본인파트 1명 + 타파트 1명</t>
        </is>
      </c>
    </row>
    <row r="39">
      <c r="A39" s="5" t="inlineStr">
        <is>
          <t>본인 파트 추천 동료 - 이름</t>
        </is>
      </c>
      <c r="B39" s="10" t="inlineStr">
        <is>
          <t>김영희</t>
        </is>
      </c>
    </row>
    <row r="40" ht="28" customHeight="1">
      <c r="A40" s="5" t="inlineStr">
        <is>
          <t>본인 파트 추천 동료 - 추천 사유</t>
        </is>
      </c>
      <c r="B40" s="10" t="inlineStr">
        <is>
          <t>데이터 기반 문제해결 방식이 팀 전체 업무 표준화에 크게 기여함</t>
        </is>
      </c>
    </row>
    <row r="41">
      <c r="A41" s="5" t="inlineStr">
        <is>
          <t>타 파트 추천 동료 - 이름</t>
        </is>
      </c>
      <c r="B41" s="10" t="inlineStr">
        <is>
          <t>이철수</t>
        </is>
      </c>
    </row>
    <row r="42" ht="28" customHeight="1">
      <c r="A42" s="5" t="inlineStr">
        <is>
          <t>타 파트 추천 동료 - 추천 사유</t>
        </is>
      </c>
      <c r="B42" s="10" t="inlineStr">
        <is>
          <t>기획-현업 협업 시 데이터 요청에 신속하고 정확하게 대응함</t>
        </is>
      </c>
    </row>
  </sheetData>
  <mergeCells count="38">
    <mergeCell ref="B40:E40"/>
    <mergeCell ref="B9:E9"/>
    <mergeCell ref="B6:E6"/>
    <mergeCell ref="B30:E30"/>
    <mergeCell ref="B15:E15"/>
    <mergeCell ref="B33:E33"/>
    <mergeCell ref="A1:E1"/>
    <mergeCell ref="B24:E24"/>
    <mergeCell ref="B5:E5"/>
    <mergeCell ref="B20:E20"/>
    <mergeCell ref="B36:E36"/>
    <mergeCell ref="B32:E32"/>
    <mergeCell ref="B26:E26"/>
    <mergeCell ref="B41:E41"/>
    <mergeCell ref="B35:E35"/>
    <mergeCell ref="B4:E4"/>
    <mergeCell ref="B16:E16"/>
    <mergeCell ref="B25:E25"/>
    <mergeCell ref="B3:E3"/>
    <mergeCell ref="B22:E22"/>
    <mergeCell ref="B31:E31"/>
    <mergeCell ref="B18:E18"/>
    <mergeCell ref="B12:E12"/>
    <mergeCell ref="B21:E21"/>
    <mergeCell ref="B39:E39"/>
    <mergeCell ref="B11:E11"/>
    <mergeCell ref="A8:E8"/>
    <mergeCell ref="B42:E42"/>
    <mergeCell ref="B14:E14"/>
    <mergeCell ref="B17:E17"/>
    <mergeCell ref="B23:E23"/>
    <mergeCell ref="A38:E38"/>
    <mergeCell ref="B13:E13"/>
    <mergeCell ref="A28:E28"/>
    <mergeCell ref="B29:E29"/>
    <mergeCell ref="B19:E19"/>
    <mergeCell ref="B34:E34"/>
    <mergeCell ref="B10:E10"/>
  </mergeCells>
  <dataValidations count="2">
    <dataValidation sqref="B11 B14 B17 B20 B22 B24 B26 B31 B36" showDropDown="0" showInputMessage="0" showErrorMessage="0" allowBlank="1" errorTitle="입력 오류" error="1~10 사이의 정수를 입력하세요." type="whole" operator="between">
      <formula1>1</formula1>
      <formula2>10</formula2>
    </dataValidation>
    <dataValidation sqref="B32 B33" showDropDown="0" showInputMessage="0" showErrorMessage="0" allowBlank="1" errorTitle="입력 오류" error="0 이상의 숫자를 입력하세요.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4" customWidth="1" min="4" max="4"/>
    <col width="14" customWidth="1" min="5" max="5"/>
  </cols>
  <sheetData>
    <row r="1" ht="24" customHeight="1">
      <c r="A1" s="1" t="inlineStr">
        <is>
          <t>구성원 성과 자가점검표 (정량 목표 기반)</t>
        </is>
      </c>
    </row>
    <row r="3">
      <c r="A3" s="5" t="inlineStr">
        <is>
          <t>이름</t>
        </is>
      </c>
      <c r="B3" s="10" t="inlineStr">
        <is>
          <t>김영희</t>
        </is>
      </c>
    </row>
    <row r="4">
      <c r="A4" s="5" t="inlineStr">
        <is>
          <t>파트/팀</t>
        </is>
      </c>
      <c r="B4" s="10" t="inlineStr">
        <is>
          <t>개발파트</t>
        </is>
      </c>
    </row>
    <row r="5">
      <c r="A5" s="5" t="inlineStr">
        <is>
          <t>직급</t>
        </is>
      </c>
      <c r="B5" s="10" t="inlineStr">
        <is>
          <t>책임</t>
        </is>
      </c>
    </row>
    <row r="6">
      <c r="A6" s="5" t="inlineStr">
        <is>
          <t>평가연도</t>
        </is>
      </c>
      <c r="B6" s="10" t="inlineStr">
        <is>
          <t>2026</t>
        </is>
      </c>
    </row>
    <row r="8" ht="20" customHeight="1">
      <c r="A8" s="4" t="inlineStr">
        <is>
          <t>Ⅰ. 성과 (What) — 정량 목표 → 달성 결과 → 자가평가 점수(1~10)</t>
        </is>
      </c>
    </row>
    <row r="9" ht="28" customHeight="1">
      <c r="A9" s="5" t="inlineStr">
        <is>
          <t>중점과제 1순위 — 과제명 및 정량 목표</t>
        </is>
      </c>
      <c r="B9" s="10" t="inlineStr">
        <is>
          <t>품질 이슈 Root Cause 분석체계 구축 — 목표: 분석 리드타임 30% 단축</t>
        </is>
      </c>
    </row>
    <row r="10" ht="28" customHeight="1">
      <c r="A10" s="5" t="inlineStr">
        <is>
          <t>달성 결과 (정량)</t>
        </is>
      </c>
      <c r="B10" s="10" t="inlineStr">
        <is>
          <t>리드타임 40% 단축, 재발률 20%p 감소</t>
        </is>
      </c>
    </row>
    <row r="11">
      <c r="A11" s="5" t="inlineStr">
        <is>
          <t>자가평가 점수 (1~10)</t>
        </is>
      </c>
      <c r="B11" s="10" t="n">
        <v>10</v>
      </c>
    </row>
    <row r="12" ht="28" customHeight="1">
      <c r="A12" s="5" t="inlineStr">
        <is>
          <t>중점과제 2순위 — 과제명 및 정량 목표</t>
        </is>
      </c>
      <c r="B12" s="10" t="inlineStr">
        <is>
          <t>협력사 품질 감사 프로세스 개선 — 목표: 감사 소요일 2일 이내</t>
        </is>
      </c>
    </row>
    <row r="13" ht="28" customHeight="1">
      <c r="A13" s="5" t="inlineStr">
        <is>
          <t>달성 결과 (정량)</t>
        </is>
      </c>
      <c r="B13" s="10" t="inlineStr">
        <is>
          <t>감사 소요일 1.5일로 단축</t>
        </is>
      </c>
    </row>
    <row r="14">
      <c r="A14" s="5" t="inlineStr">
        <is>
          <t>자가평가 점수 (1~10)</t>
        </is>
      </c>
      <c r="B14" s="10" t="n">
        <v>9</v>
      </c>
    </row>
    <row r="15" ht="28" customHeight="1">
      <c r="A15" s="5" t="inlineStr">
        <is>
          <t>중점과제 3순위 — 과제명 및 정량 목표</t>
        </is>
      </c>
      <c r="B15" s="10" t="inlineStr">
        <is>
          <t>신입 OJT 프로그램 설계 — 목표: 만족도 4.5/5.0 이상</t>
        </is>
      </c>
    </row>
    <row r="16" ht="28" customHeight="1">
      <c r="A16" s="5" t="inlineStr">
        <is>
          <t>달성 결과 (정량)</t>
        </is>
      </c>
      <c r="B16" s="10" t="inlineStr">
        <is>
          <t>만족도 4.6/5.0 달성</t>
        </is>
      </c>
    </row>
    <row r="17">
      <c r="A17" s="5" t="inlineStr">
        <is>
          <t>자가평가 점수 (1~10)</t>
        </is>
      </c>
      <c r="B17" s="10" t="n">
        <v>9</v>
      </c>
    </row>
    <row r="18" ht="28" customHeight="1">
      <c r="A18" s="5" t="inlineStr">
        <is>
          <t>추가 과제 — 과제명 및 정량 목표</t>
        </is>
      </c>
      <c r="B18" s="10" t="inlineStr">
        <is>
          <t>품질 데이터 대시보드 구축 — 목표: 부서 공용 대시보드 1건 오픈</t>
        </is>
      </c>
    </row>
    <row r="19" ht="28" customHeight="1">
      <c r="A19" s="5" t="inlineStr">
        <is>
          <t>달성 결과 (정량)</t>
        </is>
      </c>
      <c r="B19" s="10" t="inlineStr">
        <is>
          <t>대시보드 오픈, 부서 전체 사용 중</t>
        </is>
      </c>
    </row>
    <row r="20">
      <c r="A20" s="5" t="inlineStr">
        <is>
          <t>자가평가 점수 (1~10)</t>
        </is>
      </c>
      <c r="B20" s="10" t="n">
        <v>8</v>
      </c>
    </row>
    <row r="21" ht="28" customHeight="1">
      <c r="A21" s="5" t="inlineStr">
        <is>
          <t>가장 아쉬운 성과 (목표 대비 부족했던 점, 정량 포함)</t>
        </is>
      </c>
      <c r="B21" s="10" t="inlineStr">
        <is>
          <t>협력사 감사 프로세스 전사 확산(목표: 3개 부서) 대비 1개 부서만 적용</t>
        </is>
      </c>
    </row>
    <row r="22">
      <c r="A22" s="5" t="inlineStr">
        <is>
          <t>자가평가 점수 (1~10, 낮을수록 아쉬움이 컸음)</t>
        </is>
      </c>
      <c r="B22" s="10" t="n">
        <v>6</v>
      </c>
    </row>
    <row r="23">
      <c r="A23" s="5" t="inlineStr">
        <is>
          <t>팀 기여도 — 근거 (선택)</t>
        </is>
      </c>
      <c r="B23" s="10" t="inlineStr">
        <is>
          <t>품질 체계 개선이 전사 지표에 직접 반영</t>
        </is>
      </c>
    </row>
    <row r="24">
      <c r="A24" s="5" t="inlineStr">
        <is>
          <t>내가 팀 성과에 기여한 정도 (1~10, 정량)</t>
        </is>
      </c>
      <c r="B24" s="10" t="n">
        <v>9</v>
      </c>
    </row>
    <row r="25">
      <c r="A25" s="5" t="inlineStr">
        <is>
          <t>종합 성과 자가평가 — 근거 (선택)</t>
        </is>
      </c>
      <c r="B25" s="10" t="inlineStr"/>
    </row>
    <row r="26">
      <c r="A26" s="5" t="inlineStr">
        <is>
          <t>자신의 역할에 비추어 올해 성과도 자가평가 (1~10, 정량)</t>
        </is>
      </c>
      <c r="B26" s="10" t="n">
        <v>9</v>
      </c>
    </row>
    <row r="28" ht="20" customHeight="1">
      <c r="A28" s="4" t="inlineStr">
        <is>
          <t>Ⅱ. 역량 (How) — 정량 목표 → 달성 결과 → 자가평가 점수(1~10)</t>
        </is>
      </c>
    </row>
    <row r="29" ht="28" customHeight="1">
      <c r="A29" s="5" t="inlineStr">
        <is>
          <t>전문성 강화를 위한 노력 — 정량 목표</t>
        </is>
      </c>
      <c r="B29" s="10" t="inlineStr">
        <is>
          <t>통계 심화 과정 1개 수료</t>
        </is>
      </c>
    </row>
    <row r="30" ht="28" customHeight="1">
      <c r="A30" s="5" t="inlineStr">
        <is>
          <t>달성 결과 (정량)</t>
        </is>
      </c>
      <c r="B30" s="10" t="inlineStr">
        <is>
          <t>과정 수료 완료</t>
        </is>
      </c>
    </row>
    <row r="31">
      <c r="A31" s="5" t="inlineStr">
        <is>
          <t>자가평가 점수 (1~10)</t>
        </is>
      </c>
      <c r="B31" s="10" t="n">
        <v>8</v>
      </c>
    </row>
    <row r="32">
      <c r="A32" s="5" t="inlineStr">
        <is>
          <t>지식측면: SKHU 수료 학점</t>
        </is>
      </c>
      <c r="B32" s="10" t="n">
        <v>8</v>
      </c>
    </row>
    <row r="33">
      <c r="A33" s="5" t="inlineStr">
        <is>
          <t>지식측면: mySuni 수료 학점</t>
        </is>
      </c>
      <c r="B33" s="10" t="n">
        <v>6</v>
      </c>
    </row>
    <row r="34" ht="28" customHeight="1">
      <c r="A34" s="5" t="inlineStr">
        <is>
          <t>AI 활용 역량 — 정량 목표 (예: 월 N회 이상 활용)</t>
        </is>
      </c>
      <c r="B34" s="10" t="inlineStr">
        <is>
          <t>불량 예측 모델 PoC 1건 진행</t>
        </is>
      </c>
    </row>
    <row r="35" ht="28" customHeight="1">
      <c r="A35" s="5" t="inlineStr">
        <is>
          <t>달성 결과 (정량)</t>
        </is>
      </c>
      <c r="B35" s="10" t="inlineStr">
        <is>
          <t>PoC 진행, 정확도 82% 확인</t>
        </is>
      </c>
    </row>
    <row r="36">
      <c r="A36" s="5" t="inlineStr">
        <is>
          <t>자가평가 점수 (1~10)</t>
        </is>
      </c>
      <c r="B36" s="10" t="n">
        <v>7</v>
      </c>
    </row>
    <row r="38" ht="20" customHeight="1">
      <c r="A38" s="4" t="inlineStr">
        <is>
          <t>Ⅲ. 동료평가 (Peer) 추천 — 본인파트 1명 + 타파트 1명</t>
        </is>
      </c>
    </row>
    <row r="39">
      <c r="A39" s="5" t="inlineStr">
        <is>
          <t>본인 파트 추천 동료 - 이름</t>
        </is>
      </c>
      <c r="B39" s="10" t="inlineStr">
        <is>
          <t>홍길동</t>
        </is>
      </c>
    </row>
    <row r="40" ht="28" customHeight="1">
      <c r="A40" s="5" t="inlineStr">
        <is>
          <t>본인 파트 추천 동료 - 추천 사유</t>
        </is>
      </c>
      <c r="B40" s="10" t="inlineStr">
        <is>
          <t>공정 이슈 발생 시 근본 원인 분석을 함께 리드하며 신뢰도 높은 협업을 보여줌</t>
        </is>
      </c>
    </row>
    <row r="41">
      <c r="A41" s="5" t="inlineStr">
        <is>
          <t>타 파트 추천 동료 - 이름</t>
        </is>
      </c>
      <c r="B41" s="10" t="inlineStr">
        <is>
          <t>이철수</t>
        </is>
      </c>
    </row>
    <row r="42" ht="28" customHeight="1">
      <c r="A42" s="5" t="inlineStr">
        <is>
          <t>타 파트 추천 동료 - 추천 사유</t>
        </is>
      </c>
      <c r="B42" s="10" t="inlineStr">
        <is>
          <t>품질-기획 간 일정 조율에서 상호 입장을 잘 이해하고 합리적으로 조정함</t>
        </is>
      </c>
    </row>
  </sheetData>
  <mergeCells count="38">
    <mergeCell ref="B40:E40"/>
    <mergeCell ref="B9:E9"/>
    <mergeCell ref="B6:E6"/>
    <mergeCell ref="B30:E30"/>
    <mergeCell ref="B15:E15"/>
    <mergeCell ref="B33:E33"/>
    <mergeCell ref="A1:E1"/>
    <mergeCell ref="B24:E24"/>
    <mergeCell ref="B5:E5"/>
    <mergeCell ref="B20:E20"/>
    <mergeCell ref="B36:E36"/>
    <mergeCell ref="B32:E32"/>
    <mergeCell ref="B26:E26"/>
    <mergeCell ref="B41:E41"/>
    <mergeCell ref="B35:E35"/>
    <mergeCell ref="B4:E4"/>
    <mergeCell ref="B16:E16"/>
    <mergeCell ref="B25:E25"/>
    <mergeCell ref="B3:E3"/>
    <mergeCell ref="B22:E22"/>
    <mergeCell ref="B31:E31"/>
    <mergeCell ref="B18:E18"/>
    <mergeCell ref="B12:E12"/>
    <mergeCell ref="B21:E21"/>
    <mergeCell ref="B39:E39"/>
    <mergeCell ref="B11:E11"/>
    <mergeCell ref="A8:E8"/>
    <mergeCell ref="B42:E42"/>
    <mergeCell ref="B14:E14"/>
    <mergeCell ref="B17:E17"/>
    <mergeCell ref="B23:E23"/>
    <mergeCell ref="A38:E38"/>
    <mergeCell ref="B13:E13"/>
    <mergeCell ref="A28:E28"/>
    <mergeCell ref="B29:E29"/>
    <mergeCell ref="B19:E19"/>
    <mergeCell ref="B34:E34"/>
    <mergeCell ref="B10:E10"/>
  </mergeCells>
  <dataValidations count="2">
    <dataValidation sqref="B11 B14 B17 B20 B22 B24 B26 B31 B36" showDropDown="0" showInputMessage="0" showErrorMessage="0" allowBlank="1" errorTitle="입력 오류" error="1~10 사이의 정수를 입력하세요." type="whole" operator="between">
      <formula1>1</formula1>
      <formula2>10</formula2>
    </dataValidation>
    <dataValidation sqref="B32 B33" showDropDown="0" showInputMessage="0" showErrorMessage="0" allowBlank="1" errorTitle="입력 오류" error="0 이상의 숫자를 입력하세요." type="decimal" operator="greaterThanOrEqual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4" customWidth="1" min="4" max="4"/>
    <col width="14" customWidth="1" min="5" max="5"/>
  </cols>
  <sheetData>
    <row r="1" ht="24" customHeight="1">
      <c r="A1" s="1" t="inlineStr">
        <is>
          <t>구성원 성과 자가점검표 (정량 목표 기반)</t>
        </is>
      </c>
    </row>
    <row r="3">
      <c r="A3" s="5" t="inlineStr">
        <is>
          <t>이름</t>
        </is>
      </c>
      <c r="B3" s="10" t="inlineStr">
        <is>
          <t>이철수</t>
        </is>
      </c>
    </row>
    <row r="4">
      <c r="A4" s="5" t="inlineStr">
        <is>
          <t>파트/팀</t>
        </is>
      </c>
      <c r="B4" s="10" t="inlineStr">
        <is>
          <t>기획파트</t>
        </is>
      </c>
    </row>
    <row r="5">
      <c r="A5" s="5" t="inlineStr">
        <is>
          <t>직급</t>
        </is>
      </c>
      <c r="B5" s="10" t="inlineStr">
        <is>
          <t>선임</t>
        </is>
      </c>
    </row>
    <row r="6">
      <c r="A6" s="5" t="inlineStr">
        <is>
          <t>평가연도</t>
        </is>
      </c>
      <c r="B6" s="10" t="inlineStr">
        <is>
          <t>2026</t>
        </is>
      </c>
    </row>
    <row r="8" ht="20" customHeight="1">
      <c r="A8" s="4" t="inlineStr">
        <is>
          <t>Ⅰ. 성과 (What) — 정량 목표 → 달성 결과 → 자가평가 점수(1~10)</t>
        </is>
      </c>
    </row>
    <row r="9" ht="28" customHeight="1">
      <c r="A9" s="5" t="inlineStr">
        <is>
          <t>중점과제 1순위 — 과제명 및 정량 목표</t>
        </is>
      </c>
      <c r="B9" s="10" t="inlineStr">
        <is>
          <t>연간 사업계획 수립 프로세스 개선 — 목표: 수립 기간 20% 단축</t>
        </is>
      </c>
    </row>
    <row r="10" ht="28" customHeight="1">
      <c r="A10" s="5" t="inlineStr">
        <is>
          <t>달성 결과 (정량)</t>
        </is>
      </c>
      <c r="B10" s="10" t="inlineStr">
        <is>
          <t>수립 기간 3주 단축(약 25%)</t>
        </is>
      </c>
    </row>
    <row r="11">
      <c r="A11" s="5" t="inlineStr">
        <is>
          <t>자가평가 점수 (1~10)</t>
        </is>
      </c>
      <c r="B11" s="10" t="n">
        <v>8</v>
      </c>
    </row>
    <row r="12" ht="28" customHeight="1">
      <c r="A12" s="5" t="inlineStr">
        <is>
          <t>중점과제 2순위 — 과제명 및 정량 목표</t>
        </is>
      </c>
      <c r="B12" s="10" t="inlineStr">
        <is>
          <t>신규 투자 타당성 분석 — 목표: 분석 2건 완료</t>
        </is>
      </c>
    </row>
    <row r="13" ht="28" customHeight="1">
      <c r="A13" s="5" t="inlineStr">
        <is>
          <t>달성 결과 (정량)</t>
        </is>
      </c>
      <c r="B13" s="10" t="inlineStr">
        <is>
          <t>2건 완료, 모두 승인</t>
        </is>
      </c>
    </row>
    <row r="14">
      <c r="A14" s="5" t="inlineStr">
        <is>
          <t>자가평가 점수 (1~10)</t>
        </is>
      </c>
      <c r="B14" s="10" t="n">
        <v>7</v>
      </c>
    </row>
    <row r="15" ht="28" customHeight="1">
      <c r="A15" s="5" t="inlineStr">
        <is>
          <t>중점과제 3순위 — 과제명 및 정량 목표</t>
        </is>
      </c>
      <c r="B15" s="10" t="inlineStr">
        <is>
          <t>경쟁사 벤치마킹 리포트 — 목표: 분기 1회 정기 발간</t>
        </is>
      </c>
    </row>
    <row r="16" ht="28" customHeight="1">
      <c r="A16" s="5" t="inlineStr">
        <is>
          <t>달성 결과 (정량)</t>
        </is>
      </c>
      <c r="B16" s="10" t="inlineStr">
        <is>
          <t>분기별 정기 발간 체계 구축 완료</t>
        </is>
      </c>
    </row>
    <row r="17">
      <c r="A17" s="5" t="inlineStr">
        <is>
          <t>자가평가 점수 (1~10)</t>
        </is>
      </c>
      <c r="B17" s="10" t="n">
        <v>7</v>
      </c>
    </row>
    <row r="18" ht="28" customHeight="1">
      <c r="A18" s="5" t="inlineStr">
        <is>
          <t>추가 과제 — 과제명 및 정량 목표</t>
        </is>
      </c>
      <c r="B18" s="10" t="inlineStr">
        <is>
          <t>사내 뉴스레터 기획 — 목표: 월 1회 발행</t>
        </is>
      </c>
    </row>
    <row r="19" ht="28" customHeight="1">
      <c r="A19" s="5" t="inlineStr">
        <is>
          <t>달성 결과 (정량)</t>
        </is>
      </c>
      <c r="B19" s="10" t="inlineStr">
        <is>
          <t>월 1회 발행, 총 6회</t>
        </is>
      </c>
    </row>
    <row r="20">
      <c r="A20" s="5" t="inlineStr">
        <is>
          <t>자가평가 점수 (1~10)</t>
        </is>
      </c>
      <c r="B20" s="10" t="n">
        <v>6</v>
      </c>
    </row>
    <row r="21" ht="28" customHeight="1">
      <c r="A21" s="5" t="inlineStr">
        <is>
          <t>가장 아쉬운 성과 (목표 대비 부족했던 점, 정량 포함)</t>
        </is>
      </c>
      <c r="B21" s="10" t="inlineStr">
        <is>
          <t>사업계획 수립 시 현업 의견수렴(목표: 3개 부서 인터뷰) 대비 2개 부서만 진행</t>
        </is>
      </c>
    </row>
    <row r="22">
      <c r="A22" s="5" t="inlineStr">
        <is>
          <t>자가평가 점수 (1~10, 낮을수록 아쉬움이 컸음)</t>
        </is>
      </c>
      <c r="B22" s="10" t="n">
        <v>5</v>
      </c>
    </row>
    <row r="23">
      <c r="A23" s="5" t="inlineStr">
        <is>
          <t>팀 기여도 — 근거 (선택)</t>
        </is>
      </c>
      <c r="B23" s="10" t="inlineStr"/>
    </row>
    <row r="24">
      <c r="A24" s="5" t="inlineStr">
        <is>
          <t>내가 팀 성과에 기여한 정도 (1~10, 정량)</t>
        </is>
      </c>
      <c r="B24" s="10" t="n">
        <v>7</v>
      </c>
    </row>
    <row r="25">
      <c r="A25" s="5" t="inlineStr">
        <is>
          <t>종합 성과 자가평가 — 근거 (선택)</t>
        </is>
      </c>
      <c r="B25" s="10" t="inlineStr"/>
    </row>
    <row r="26">
      <c r="A26" s="5" t="inlineStr">
        <is>
          <t>자신의 역할에 비추어 올해 성과도 자가평가 (1~10, 정량)</t>
        </is>
      </c>
      <c r="B26" s="10" t="n">
        <v>6</v>
      </c>
    </row>
    <row r="28" ht="20" customHeight="1">
      <c r="A28" s="4" t="inlineStr">
        <is>
          <t>Ⅱ. 역량 (How) — 정량 목표 → 달성 결과 → 자가평가 점수(1~10)</t>
        </is>
      </c>
    </row>
    <row r="29" ht="28" customHeight="1">
      <c r="A29" s="5" t="inlineStr">
        <is>
          <t>전문성 강화를 위한 노력 — 정량 목표</t>
        </is>
      </c>
      <c r="B29" s="10" t="inlineStr">
        <is>
          <t>리더십 과정 1개 이수</t>
        </is>
      </c>
    </row>
    <row r="30" ht="28" customHeight="1">
      <c r="A30" s="5" t="inlineStr">
        <is>
          <t>달성 결과 (정량)</t>
        </is>
      </c>
      <c r="B30" s="10" t="inlineStr">
        <is>
          <t>이수 완료</t>
        </is>
      </c>
    </row>
    <row r="31">
      <c r="A31" s="5" t="inlineStr">
        <is>
          <t>자가평가 점수 (1~10)</t>
        </is>
      </c>
      <c r="B31" s="10" t="n">
        <v>6</v>
      </c>
    </row>
    <row r="32">
      <c r="A32" s="5" t="inlineStr">
        <is>
          <t>지식측면: SKHU 수료 학점</t>
        </is>
      </c>
      <c r="B32" s="10" t="n">
        <v>4</v>
      </c>
    </row>
    <row r="33">
      <c r="A33" s="5" t="inlineStr">
        <is>
          <t>지식측면: mySuni 수료 학점</t>
        </is>
      </c>
      <c r="B33" s="10" t="n">
        <v>2</v>
      </c>
    </row>
    <row r="34" ht="28" customHeight="1">
      <c r="A34" s="5" t="inlineStr">
        <is>
          <t>AI 활용 역량 — 정량 목표 (예: 월 N회 이상 활용)</t>
        </is>
      </c>
      <c r="B34" s="10" t="inlineStr">
        <is>
          <t>AI 리서치 도구로 보고서 작성 시간 20% 단축</t>
        </is>
      </c>
    </row>
    <row r="35" ht="28" customHeight="1">
      <c r="A35" s="5" t="inlineStr">
        <is>
          <t>달성 결과 (정량)</t>
        </is>
      </c>
      <c r="B35" s="10" t="inlineStr">
        <is>
          <t>작성 시간 15% 단축</t>
        </is>
      </c>
    </row>
    <row r="36">
      <c r="A36" s="5" t="inlineStr">
        <is>
          <t>자가평가 점수 (1~10)</t>
        </is>
      </c>
      <c r="B36" s="10" t="n">
        <v>6</v>
      </c>
    </row>
    <row r="38" ht="20" customHeight="1">
      <c r="A38" s="4" t="inlineStr">
        <is>
          <t>Ⅲ. 동료평가 (Peer) 추천 — 본인파트 1명 + 타파트 1명</t>
        </is>
      </c>
    </row>
    <row r="39">
      <c r="A39" s="5" t="inlineStr">
        <is>
          <t>본인 파트 추천 동료 - 이름</t>
        </is>
      </c>
      <c r="B39" s="10" t="inlineStr">
        <is>
          <t>박민수</t>
        </is>
      </c>
    </row>
    <row r="40" ht="28" customHeight="1">
      <c r="A40" s="5" t="inlineStr">
        <is>
          <t>본인 파트 추천 동료 - 추천 사유</t>
        </is>
      </c>
      <c r="B40" s="10" t="inlineStr">
        <is>
          <t>사업계획 수립 과정에서 꼼꼼한 데이터 검증으로 리스크를 사전에 줄여줌</t>
        </is>
      </c>
    </row>
    <row r="41">
      <c r="A41" s="5" t="inlineStr">
        <is>
          <t>타 파트 추천 동료 - 이름</t>
        </is>
      </c>
      <c r="B41" s="10" t="inlineStr">
        <is>
          <t>홍길동</t>
        </is>
      </c>
    </row>
    <row r="42" ht="28" customHeight="1">
      <c r="A42" s="5" t="inlineStr">
        <is>
          <t>타 파트 추천 동료 - 추천 사유</t>
        </is>
      </c>
      <c r="B42" s="10" t="inlineStr">
        <is>
          <t>현업 데이터 요청에 적극적으로 협조하여 기획 품질을 높여줌</t>
        </is>
      </c>
    </row>
  </sheetData>
  <mergeCells count="38">
    <mergeCell ref="B40:E40"/>
    <mergeCell ref="B9:E9"/>
    <mergeCell ref="B6:E6"/>
    <mergeCell ref="B30:E30"/>
    <mergeCell ref="B15:E15"/>
    <mergeCell ref="B33:E33"/>
    <mergeCell ref="A1:E1"/>
    <mergeCell ref="B24:E24"/>
    <mergeCell ref="B5:E5"/>
    <mergeCell ref="B20:E20"/>
    <mergeCell ref="B36:E36"/>
    <mergeCell ref="B32:E32"/>
    <mergeCell ref="B26:E26"/>
    <mergeCell ref="B41:E41"/>
    <mergeCell ref="B35:E35"/>
    <mergeCell ref="B4:E4"/>
    <mergeCell ref="B16:E16"/>
    <mergeCell ref="B25:E25"/>
    <mergeCell ref="B3:E3"/>
    <mergeCell ref="B22:E22"/>
    <mergeCell ref="B31:E31"/>
    <mergeCell ref="B18:E18"/>
    <mergeCell ref="B12:E12"/>
    <mergeCell ref="B21:E21"/>
    <mergeCell ref="B39:E39"/>
    <mergeCell ref="B11:E11"/>
    <mergeCell ref="A8:E8"/>
    <mergeCell ref="B42:E42"/>
    <mergeCell ref="B14:E14"/>
    <mergeCell ref="B17:E17"/>
    <mergeCell ref="B23:E23"/>
    <mergeCell ref="A38:E38"/>
    <mergeCell ref="B13:E13"/>
    <mergeCell ref="A28:E28"/>
    <mergeCell ref="B29:E29"/>
    <mergeCell ref="B19:E19"/>
    <mergeCell ref="B34:E34"/>
    <mergeCell ref="B10:E10"/>
  </mergeCells>
  <dataValidations count="2">
    <dataValidation sqref="B11 B14 B17 B20 B22 B24 B26 B31 B36" showDropDown="0" showInputMessage="0" showErrorMessage="0" allowBlank="1" errorTitle="입력 오류" error="1~10 사이의 정수를 입력하세요." type="whole" operator="between">
      <formula1>1</formula1>
      <formula2>10</formula2>
    </dataValidation>
    <dataValidation sqref="B32 B33" showDropDown="0" showInputMessage="0" showErrorMessage="0" allowBlank="1" errorTitle="입력 오류" error="0 이상의 숫자를 입력하세요." type="decimal" operator="greaterThanOrEqual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4" customWidth="1" min="4" max="4"/>
    <col width="14" customWidth="1" min="5" max="5"/>
  </cols>
  <sheetData>
    <row r="1" ht="24" customHeight="1">
      <c r="A1" s="1" t="inlineStr">
        <is>
          <t>구성원 성과 자가점검표 (정량 목표 기반)</t>
        </is>
      </c>
    </row>
    <row r="3">
      <c r="A3" s="5" t="inlineStr">
        <is>
          <t>이름</t>
        </is>
      </c>
      <c r="B3" s="10" t="inlineStr">
        <is>
          <t>박민수</t>
        </is>
      </c>
    </row>
    <row r="4">
      <c r="A4" s="5" t="inlineStr">
        <is>
          <t>파트/팀</t>
        </is>
      </c>
      <c r="B4" s="10" t="inlineStr">
        <is>
          <t>기획파트</t>
        </is>
      </c>
    </row>
    <row r="5">
      <c r="A5" s="5" t="inlineStr">
        <is>
          <t>직급</t>
        </is>
      </c>
      <c r="B5" s="10" t="inlineStr">
        <is>
          <t>책임</t>
        </is>
      </c>
    </row>
    <row r="6">
      <c r="A6" s="5" t="inlineStr">
        <is>
          <t>평가연도</t>
        </is>
      </c>
      <c r="B6" s="10" t="inlineStr">
        <is>
          <t>2026</t>
        </is>
      </c>
    </row>
    <row r="8" ht="20" customHeight="1">
      <c r="A8" s="4" t="inlineStr">
        <is>
          <t>Ⅰ. 성과 (What) — 정량 목표 → 달성 결과 → 자가평가 점수(1~10)</t>
        </is>
      </c>
    </row>
    <row r="9" ht="28" customHeight="1">
      <c r="A9" s="5" t="inlineStr">
        <is>
          <t>중점과제 1순위 — 과제명 및 정량 목표</t>
        </is>
      </c>
      <c r="B9" s="10" t="inlineStr">
        <is>
          <t>중장기 R&amp;D 로드맵 수립 — 목표: 로드맵 확정 및 승인</t>
        </is>
      </c>
    </row>
    <row r="10" ht="28" customHeight="1">
      <c r="A10" s="5" t="inlineStr">
        <is>
          <t>달성 결과 (정량)</t>
        </is>
      </c>
      <c r="B10" s="10" t="inlineStr">
        <is>
          <t>로드맵 확정, 경영진 승인 완료</t>
        </is>
      </c>
    </row>
    <row r="11">
      <c r="A11" s="5" t="inlineStr">
        <is>
          <t>자가평가 점수 (1~10)</t>
        </is>
      </c>
      <c r="B11" s="10" t="n">
        <v>8</v>
      </c>
    </row>
    <row r="12" ht="28" customHeight="1">
      <c r="A12" s="5" t="inlineStr">
        <is>
          <t>중점과제 2순위 — 과제명 및 정량 목표</t>
        </is>
      </c>
      <c r="B12" s="10" t="inlineStr">
        <is>
          <t>정부 R&amp;D 과제 기획/신청 — 목표: 1건 이상 선정</t>
        </is>
      </c>
    </row>
    <row r="13" ht="28" customHeight="1">
      <c r="A13" s="5" t="inlineStr">
        <is>
          <t>달성 결과 (정량)</t>
        </is>
      </c>
      <c r="B13" s="10" t="inlineStr">
        <is>
          <t>1건 선정, 예산 확보</t>
        </is>
      </c>
    </row>
    <row r="14">
      <c r="A14" s="5" t="inlineStr">
        <is>
          <t>자가평가 점수 (1~10)</t>
        </is>
      </c>
      <c r="B14" s="10" t="n">
        <v>8</v>
      </c>
    </row>
    <row r="15" ht="28" customHeight="1">
      <c r="A15" s="5" t="inlineStr">
        <is>
          <t>중점과제 3순위 — 과제명 및 정량 목표</t>
        </is>
      </c>
      <c r="B15" s="10" t="inlineStr">
        <is>
          <t>부서간 협업 R&amp;D 과제 조율 — 목표: 착수 지연 2주 이내</t>
        </is>
      </c>
    </row>
    <row r="16" ht="28" customHeight="1">
      <c r="A16" s="5" t="inlineStr">
        <is>
          <t>달성 결과 (정량)</t>
        </is>
      </c>
      <c r="B16" s="10" t="inlineStr">
        <is>
          <t>착수 지연 1주로 최소화</t>
        </is>
      </c>
    </row>
    <row r="17">
      <c r="A17" s="5" t="inlineStr">
        <is>
          <t>자가평가 점수 (1~10)</t>
        </is>
      </c>
      <c r="B17" s="10" t="n">
        <v>7</v>
      </c>
    </row>
    <row r="18" ht="28" customHeight="1">
      <c r="A18" s="5" t="inlineStr">
        <is>
          <t>추가 과제 — 과제명 및 정량 목표</t>
        </is>
      </c>
      <c r="B18" s="10" t="inlineStr">
        <is>
          <t>R&amp;D 성과관리 체계 개선 제안 — 목표: 개선안 1건 제출</t>
        </is>
      </c>
    </row>
    <row r="19" ht="28" customHeight="1">
      <c r="A19" s="5" t="inlineStr">
        <is>
          <t>달성 결과 (정량)</t>
        </is>
      </c>
      <c r="B19" s="10" t="inlineStr">
        <is>
          <t>개선안 제출 및 일부 채택</t>
        </is>
      </c>
    </row>
    <row r="20">
      <c r="A20" s="5" t="inlineStr">
        <is>
          <t>자가평가 점수 (1~10)</t>
        </is>
      </c>
      <c r="B20" s="10" t="n">
        <v>7</v>
      </c>
    </row>
    <row r="21" ht="28" customHeight="1">
      <c r="A21" s="5" t="inlineStr">
        <is>
          <t>가장 아쉬운 성과 (목표 대비 부족했던 점, 정량 포함)</t>
        </is>
      </c>
      <c r="B21" s="10" t="inlineStr">
        <is>
          <t>정부 과제 신청서 품질 목표(외부 검토 2회) 대비 1회만 진행</t>
        </is>
      </c>
    </row>
    <row r="22">
      <c r="A22" s="5" t="inlineStr">
        <is>
          <t>자가평가 점수 (1~10, 낮을수록 아쉬움이 컸음)</t>
        </is>
      </c>
      <c r="B22" s="10" t="n">
        <v>6</v>
      </c>
    </row>
    <row r="23">
      <c r="A23" s="5" t="inlineStr">
        <is>
          <t>팀 기여도 — 근거 (선택)</t>
        </is>
      </c>
      <c r="B23" s="10" t="inlineStr"/>
    </row>
    <row r="24">
      <c r="A24" s="5" t="inlineStr">
        <is>
          <t>내가 팀 성과에 기여한 정도 (1~10, 정량)</t>
        </is>
      </c>
      <c r="B24" s="10" t="n">
        <v>6</v>
      </c>
    </row>
    <row r="25">
      <c r="A25" s="5" t="inlineStr">
        <is>
          <t>종합 성과 자가평가 — 근거 (선택)</t>
        </is>
      </c>
      <c r="B25" s="10" t="inlineStr"/>
    </row>
    <row r="26">
      <c r="A26" s="5" t="inlineStr">
        <is>
          <t>자신의 역할에 비추어 올해 성과도 자가평가 (1~10, 정량)</t>
        </is>
      </c>
      <c r="B26" s="10" t="n">
        <v>7</v>
      </c>
    </row>
    <row r="28" ht="20" customHeight="1">
      <c r="A28" s="4" t="inlineStr">
        <is>
          <t>Ⅱ. 역량 (How) — 정량 목표 → 달성 결과 → 자가평가 점수(1~10)</t>
        </is>
      </c>
    </row>
    <row r="29" ht="28" customHeight="1">
      <c r="A29" s="5" t="inlineStr">
        <is>
          <t>전문성 강화를 위한 노력 — 정량 목표</t>
        </is>
      </c>
      <c r="B29" s="10" t="inlineStr">
        <is>
          <t>특허/기술동향 분석 교육 이수</t>
        </is>
      </c>
    </row>
    <row r="30" ht="28" customHeight="1">
      <c r="A30" s="5" t="inlineStr">
        <is>
          <t>달성 결과 (정량)</t>
        </is>
      </c>
      <c r="B30" s="10" t="inlineStr">
        <is>
          <t>이수 완료</t>
        </is>
      </c>
    </row>
    <row r="31">
      <c r="A31" s="5" t="inlineStr">
        <is>
          <t>자가평가 점수 (1~10)</t>
        </is>
      </c>
      <c r="B31" s="10" t="n">
        <v>7</v>
      </c>
    </row>
    <row r="32">
      <c r="A32" s="5" t="inlineStr">
        <is>
          <t>지식측면: SKHU 수료 학점</t>
        </is>
      </c>
      <c r="B32" s="10" t="n">
        <v>5</v>
      </c>
    </row>
    <row r="33">
      <c r="A33" s="5" t="inlineStr">
        <is>
          <t>지식측면: mySuni 수료 학점</t>
        </is>
      </c>
      <c r="B33" s="10" t="n">
        <v>5</v>
      </c>
    </row>
    <row r="34" ht="28" customHeight="1">
      <c r="A34" s="5" t="inlineStr">
        <is>
          <t>AI 활용 역량 — 정량 목표 (예: 월 N회 이상 활용)</t>
        </is>
      </c>
      <c r="B34" s="10" t="inlineStr">
        <is>
          <t>AI 리서치 도구로 동향 분석 보고서 월 2건 이상 작성</t>
        </is>
      </c>
    </row>
    <row r="35" ht="28" customHeight="1">
      <c r="A35" s="5" t="inlineStr">
        <is>
          <t>달성 결과 (정량)</t>
        </is>
      </c>
      <c r="B35" s="10" t="inlineStr">
        <is>
          <t>월 평균 3건 작성</t>
        </is>
      </c>
    </row>
    <row r="36">
      <c r="A36" s="5" t="inlineStr">
        <is>
          <t>자가평가 점수 (1~10)</t>
        </is>
      </c>
      <c r="B36" s="10" t="n">
        <v>9</v>
      </c>
    </row>
    <row r="38" ht="20" customHeight="1">
      <c r="A38" s="4" t="inlineStr">
        <is>
          <t>Ⅲ. 동료평가 (Peer) 추천 — 본인파트 1명 + 타파트 1명</t>
        </is>
      </c>
    </row>
    <row r="39">
      <c r="A39" s="5" t="inlineStr">
        <is>
          <t>본인 파트 추천 동료 - 이름</t>
        </is>
      </c>
      <c r="B39" s="10" t="inlineStr">
        <is>
          <t>이철수</t>
        </is>
      </c>
    </row>
    <row r="40" ht="28" customHeight="1">
      <c r="A40" s="5" t="inlineStr">
        <is>
          <t>본인 파트 추천 동료 - 추천 사유</t>
        </is>
      </c>
      <c r="B40" s="10" t="inlineStr">
        <is>
          <t>복잡한 이해관계 조정 상황에서 침착하고 논리적으로 문제를 해결함</t>
        </is>
      </c>
    </row>
    <row r="41">
      <c r="A41" s="5" t="inlineStr">
        <is>
          <t>타 파트 추천 동료 - 이름</t>
        </is>
      </c>
      <c r="B41" s="10" t="inlineStr">
        <is>
          <t>홍길동</t>
        </is>
      </c>
    </row>
    <row r="42" ht="28" customHeight="1">
      <c r="A42" s="5" t="inlineStr">
        <is>
          <t>타 파트 추천 동료 - 추천 사유</t>
        </is>
      </c>
      <c r="B42" s="10" t="inlineStr">
        <is>
          <t>현업 관점에서 R&amp;D 우선순위에 대한 현실적인 피드백을 제공함</t>
        </is>
      </c>
    </row>
  </sheetData>
  <mergeCells count="38">
    <mergeCell ref="B40:E40"/>
    <mergeCell ref="B9:E9"/>
    <mergeCell ref="B6:E6"/>
    <mergeCell ref="B30:E30"/>
    <mergeCell ref="B15:E15"/>
    <mergeCell ref="B33:E33"/>
    <mergeCell ref="A1:E1"/>
    <mergeCell ref="B24:E24"/>
    <mergeCell ref="B5:E5"/>
    <mergeCell ref="B20:E20"/>
    <mergeCell ref="B36:E36"/>
    <mergeCell ref="B32:E32"/>
    <mergeCell ref="B26:E26"/>
    <mergeCell ref="B41:E41"/>
    <mergeCell ref="B35:E35"/>
    <mergeCell ref="B4:E4"/>
    <mergeCell ref="B16:E16"/>
    <mergeCell ref="B25:E25"/>
    <mergeCell ref="B3:E3"/>
    <mergeCell ref="B22:E22"/>
    <mergeCell ref="B31:E31"/>
    <mergeCell ref="B18:E18"/>
    <mergeCell ref="B12:E12"/>
    <mergeCell ref="B21:E21"/>
    <mergeCell ref="B39:E39"/>
    <mergeCell ref="B11:E11"/>
    <mergeCell ref="A8:E8"/>
    <mergeCell ref="B42:E42"/>
    <mergeCell ref="B14:E14"/>
    <mergeCell ref="B17:E17"/>
    <mergeCell ref="B23:E23"/>
    <mergeCell ref="A38:E38"/>
    <mergeCell ref="B13:E13"/>
    <mergeCell ref="A28:E28"/>
    <mergeCell ref="B29:E29"/>
    <mergeCell ref="B19:E19"/>
    <mergeCell ref="B34:E34"/>
    <mergeCell ref="B10:E10"/>
  </mergeCells>
  <dataValidations count="2">
    <dataValidation sqref="B11 B14 B17 B20 B22 B24 B26 B31 B36" showDropDown="0" showInputMessage="0" showErrorMessage="0" allowBlank="1" errorTitle="입력 오류" error="1~10 사이의 정수를 입력하세요." type="whole" operator="between">
      <formula1>1</formula1>
      <formula2>10</formula2>
    </dataValidation>
    <dataValidation sqref="B32 B33" showDropDown="0" showInputMessage="0" showErrorMessage="0" allowBlank="1" errorTitle="입력 오류" error="0 이상의 숫자를 입력하세요." type="decimal" operator="greaterThanOrEqual">
      <formula1>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34" customWidth="1" min="4" max="4"/>
    <col width="16" customWidth="1" min="5" max="5"/>
    <col width="34" customWidth="1" min="6" max="6"/>
  </cols>
  <sheetData>
    <row r="1" ht="22" customHeight="1">
      <c r="A1" s="1" t="inlineStr">
        <is>
          <t>동료평가(Peer) 추천 자동 집계</t>
        </is>
      </c>
    </row>
    <row r="3">
      <c r="A3" s="12" t="inlineStr">
        <is>
          <t>추천자</t>
        </is>
      </c>
      <c r="B3" s="12" t="inlineStr">
        <is>
          <t>파트</t>
        </is>
      </c>
      <c r="C3" s="12" t="inlineStr">
        <is>
          <t>본인파트 추천대상</t>
        </is>
      </c>
      <c r="D3" s="12" t="inlineStr">
        <is>
          <t>본인파트 추천사유</t>
        </is>
      </c>
      <c r="E3" s="12" t="inlineStr">
        <is>
          <t>타파트 추천대상</t>
        </is>
      </c>
      <c r="F3" s="12" t="inlineStr">
        <is>
          <t>타파트 추천사유</t>
        </is>
      </c>
    </row>
    <row r="4">
      <c r="A4" s="13" t="inlineStr">
        <is>
          <t>홍길동</t>
        </is>
      </c>
      <c r="B4" s="13">
        <f>INDIRECT("'자가점검표_"&amp;A4&amp;"'!B4")</f>
        <v/>
      </c>
      <c r="C4" s="13">
        <f>INDIRECT("'자가점검표_"&amp;A4&amp;"'!B39")</f>
        <v/>
      </c>
      <c r="D4" s="13">
        <f>INDIRECT("'자가점검표_"&amp;A4&amp;"'!B40")</f>
        <v/>
      </c>
      <c r="E4" s="13">
        <f>INDIRECT("'자가점검표_"&amp;A4&amp;"'!B41")</f>
        <v/>
      </c>
      <c r="F4" s="13">
        <f>INDIRECT("'자가점검표_"&amp;A4&amp;"'!B42")</f>
        <v/>
      </c>
    </row>
    <row r="5">
      <c r="A5" s="13" t="inlineStr">
        <is>
          <t>김영희</t>
        </is>
      </c>
      <c r="B5" s="13">
        <f>INDIRECT("'자가점검표_"&amp;A5&amp;"'!B4")</f>
        <v/>
      </c>
      <c r="C5" s="13">
        <f>INDIRECT("'자가점검표_"&amp;A5&amp;"'!B39")</f>
        <v/>
      </c>
      <c r="D5" s="13">
        <f>INDIRECT("'자가점검표_"&amp;A5&amp;"'!B40")</f>
        <v/>
      </c>
      <c r="E5" s="13">
        <f>INDIRECT("'자가점검표_"&amp;A5&amp;"'!B41")</f>
        <v/>
      </c>
      <c r="F5" s="13">
        <f>INDIRECT("'자가점검표_"&amp;A5&amp;"'!B42")</f>
        <v/>
      </c>
    </row>
    <row r="6">
      <c r="A6" s="13" t="inlineStr">
        <is>
          <t>이철수</t>
        </is>
      </c>
      <c r="B6" s="13">
        <f>INDIRECT("'자가점검표_"&amp;A6&amp;"'!B4")</f>
        <v/>
      </c>
      <c r="C6" s="13">
        <f>INDIRECT("'자가점검표_"&amp;A6&amp;"'!B39")</f>
        <v/>
      </c>
      <c r="D6" s="13">
        <f>INDIRECT("'자가점검표_"&amp;A6&amp;"'!B40")</f>
        <v/>
      </c>
      <c r="E6" s="13">
        <f>INDIRECT("'자가점검표_"&amp;A6&amp;"'!B41")</f>
        <v/>
      </c>
      <c r="F6" s="13">
        <f>INDIRECT("'자가점검표_"&amp;A6&amp;"'!B42")</f>
        <v/>
      </c>
    </row>
    <row r="7">
      <c r="A7" s="13" t="inlineStr">
        <is>
          <t>박민수</t>
        </is>
      </c>
      <c r="B7" s="13">
        <f>INDIRECT("'자가점검표_"&amp;A7&amp;"'!B4")</f>
        <v/>
      </c>
      <c r="C7" s="13">
        <f>INDIRECT("'자가점검표_"&amp;A7&amp;"'!B39")</f>
        <v/>
      </c>
      <c r="D7" s="13">
        <f>INDIRECT("'자가점검표_"&amp;A7&amp;"'!B40")</f>
        <v/>
      </c>
      <c r="E7" s="13">
        <f>INDIRECT("'자가점검표_"&amp;A7&amp;"'!B41")</f>
        <v/>
      </c>
      <c r="F7" s="13">
        <f>INDIRECT("'자가점검표_"&amp;A7&amp;"'!B42")</f>
        <v/>
      </c>
    </row>
    <row r="9">
      <c r="A9" s="7" t="inlineStr">
        <is>
          <t>대상자별 추천받은 횟수</t>
        </is>
      </c>
    </row>
    <row r="10">
      <c r="A10" s="14" t="inlineStr">
        <is>
          <t>이름</t>
        </is>
      </c>
      <c r="B10" s="14" t="inlineStr">
        <is>
          <t>추천받은 횟수</t>
        </is>
      </c>
    </row>
    <row r="11">
      <c r="A11" s="15" t="inlineStr">
        <is>
          <t>홍길동</t>
        </is>
      </c>
      <c r="B11" s="15">
        <f>COUNTIF($C$4:$C$7,A11)+COUNTIF($E$4:$E$7,A11)</f>
        <v/>
      </c>
    </row>
    <row r="12">
      <c r="A12" s="15" t="inlineStr">
        <is>
          <t>김영희</t>
        </is>
      </c>
      <c r="B12" s="15">
        <f>COUNTIF($C$4:$C$7,A12)+COUNTIF($E$4:$E$7,A12)</f>
        <v/>
      </c>
    </row>
    <row r="13">
      <c r="A13" s="15" t="inlineStr">
        <is>
          <t>이철수</t>
        </is>
      </c>
      <c r="B13" s="15">
        <f>COUNTIF($C$4:$C$7,A13)+COUNTIF($E$4:$E$7,A13)</f>
        <v/>
      </c>
    </row>
    <row r="14">
      <c r="A14" s="15" t="inlineStr">
        <is>
          <t>박민수</t>
        </is>
      </c>
      <c r="B14" s="15">
        <f>COUNTIF($C$4:$C$7,A14)+COUNTIF($E$4:$E$7,A14)</f>
        <v/>
      </c>
    </row>
  </sheetData>
  <mergeCells count="2">
    <mergeCell ref="A9:B9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60" customWidth="1" min="4" max="4"/>
  </cols>
  <sheetData>
    <row r="1" ht="22" customHeight="1">
      <c r="A1" s="1" t="inlineStr">
        <is>
          <t>1:1 리뷰 준비 노트 + 팀장 조정점수</t>
        </is>
      </c>
    </row>
    <row r="2">
      <c r="A2" s="8" t="inlineStr">
        <is>
          <t>조정점수는 자가점수 부풀리기를 막기 위한 소폭 보정용입니다(-10~+10, 가중치 없이 최종점수에 그대로 더해짐). 특별한 사유가 없으면 0으로 둡니다.</t>
        </is>
      </c>
    </row>
    <row r="4">
      <c r="A4" s="12" t="inlineStr">
        <is>
          <t>이름</t>
        </is>
      </c>
      <c r="B4" s="12" t="inlineStr">
        <is>
          <t>파트</t>
        </is>
      </c>
      <c r="C4" s="12" t="inlineStr">
        <is>
          <t>팀장 조정점수(-10~+10)</t>
        </is>
      </c>
      <c r="D4" s="12" t="inlineStr">
        <is>
          <t>1:1 준비 메모</t>
        </is>
      </c>
    </row>
    <row r="5" ht="30" customHeight="1">
      <c r="A5" s="13" t="inlineStr">
        <is>
          <t>홍길동</t>
        </is>
      </c>
      <c r="B5" s="13">
        <f>INDIRECT("'자가점검표_"&amp;A5&amp;"'!B4")</f>
        <v/>
      </c>
      <c r="C5" s="10" t="n">
        <v>1</v>
      </c>
      <c r="D5" s="10" t="inlineStr">
        <is>
          <t>핵심 과제 초과달성 축하. 설비 매뉴얼 지연 원인과 재발방지 계획을 함께 점검.</t>
        </is>
      </c>
    </row>
    <row r="6" ht="30" customHeight="1">
      <c r="A6" s="13" t="inlineStr">
        <is>
          <t>김영희</t>
        </is>
      </c>
      <c r="B6" s="13">
        <f>INDIRECT("'자가점검표_"&amp;A6&amp;"'!B4")</f>
        <v/>
      </c>
      <c r="C6" s="10" t="n">
        <v>-2</v>
      </c>
      <c r="D6" s="10" t="inlineStr">
        <is>
          <t>품질 체계 개선 성과 우수. 다만 일부 자가점수가 다소 후한 편으로 보여 소폭 하향 조정. 전사 확산 계획을 함께 수립.</t>
        </is>
      </c>
    </row>
    <row r="7" ht="30" customHeight="1">
      <c r="A7" s="13" t="inlineStr">
        <is>
          <t>이철수</t>
        </is>
      </c>
      <c r="B7" s="13">
        <f>INDIRECT("'자가점검표_"&amp;A7&amp;"'!B4")</f>
        <v/>
      </c>
      <c r="C7" s="10" t="n">
        <v>5</v>
      </c>
      <c r="D7" s="10" t="inlineStr">
        <is>
          <t>계획 수행은 견고했으나 자가점수가 다소 박한 편으로 보여 상향 조정. 현업 의견수렴 프로세스 보완 방안 논의.</t>
        </is>
      </c>
    </row>
    <row r="8" ht="30" customHeight="1">
      <c r="A8" s="13" t="inlineStr">
        <is>
          <t>박민수</t>
        </is>
      </c>
      <c r="B8" s="13">
        <f>INDIRECT("'자가점검표_"&amp;A8&amp;"'!B4")</f>
        <v/>
      </c>
      <c r="C8" s="10" t="n">
        <v>0</v>
      </c>
      <c r="D8" s="10" t="inlineStr">
        <is>
          <t>R&amp;D 로드맵 성과 확인. 신청서 품질 관리 프로세스 논의.</t>
        </is>
      </c>
    </row>
  </sheetData>
  <mergeCells count="2">
    <mergeCell ref="A1:D1"/>
    <mergeCell ref="A2:D2"/>
  </mergeCells>
  <dataValidations count="1">
    <dataValidation sqref="C5 C6 C7 C8" showDropDown="0" showInputMessage="0" showErrorMessage="0" allowBlank="1" errorTitle="입력 오류" error="-10~10 사이의 정수를 입력하세요." type="whole" operator="between">
      <formula1>-10</formula1>
      <formula2>10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8" customWidth="1" min="8" max="8"/>
    <col width="8" customWidth="1" min="9" max="9"/>
    <col width="16" customWidth="1" min="10" max="10"/>
    <col width="10" customWidth="1" min="11" max="11"/>
    <col width="9" customWidth="1" min="12" max="12"/>
    <col width="9" customWidth="1" min="13" max="13"/>
    <col width="8" customWidth="1" min="14" max="14"/>
    <col width="16" customWidth="1" min="15" max="15"/>
    <col width="12" customWidth="1" min="16" max="16"/>
    <col width="16" customWidth="1" min="17" max="17"/>
    <col width="18" customWidth="1" min="18" max="18"/>
    <col width="12" customWidth="1" min="19" max="19"/>
    <col width="12" customWidth="1" min="20" max="20"/>
    <col width="12" customWidth="1" min="21" max="21"/>
    <col width="8" customWidth="1" min="22" max="22"/>
  </cols>
  <sheetData>
    <row r="1" ht="22" customHeight="1">
      <c r="A1" s="1" t="inlineStr">
        <is>
          <t>구성원 고과 순위산정표 (전 항목 정량 자가점검 기반)</t>
        </is>
      </c>
    </row>
    <row r="3">
      <c r="A3" s="12" t="inlineStr">
        <is>
          <t>이름</t>
        </is>
      </c>
      <c r="B3" s="12" t="inlineStr">
        <is>
          <t>파트</t>
        </is>
      </c>
      <c r="C3" s="12" t="inlineStr">
        <is>
          <t>중점과제1</t>
        </is>
      </c>
      <c r="D3" s="12" t="inlineStr">
        <is>
          <t>중점과제2</t>
        </is>
      </c>
      <c r="E3" s="12" t="inlineStr">
        <is>
          <t>중점과제3</t>
        </is>
      </c>
      <c r="F3" s="12" t="inlineStr">
        <is>
          <t>추가과제</t>
        </is>
      </c>
      <c r="G3" s="12" t="inlineStr">
        <is>
          <t>아쉬운성과</t>
        </is>
      </c>
      <c r="H3" s="12" t="inlineStr">
        <is>
          <t>기여도</t>
        </is>
      </c>
      <c r="I3" s="12" t="inlineStr">
        <is>
          <t>성과도</t>
        </is>
      </c>
      <c r="J3" s="12" t="inlineStr">
        <is>
          <t>성과환산점수(100)</t>
        </is>
      </c>
      <c r="K3" s="12" t="inlineStr">
        <is>
          <t>전문성점수</t>
        </is>
      </c>
      <c r="L3" s="12" t="inlineStr">
        <is>
          <t>SKHU학점</t>
        </is>
      </c>
      <c r="M3" s="12" t="inlineStr">
        <is>
          <t>mySuni학점</t>
        </is>
      </c>
      <c r="N3" s="12" t="inlineStr">
        <is>
          <t>AI점수</t>
        </is>
      </c>
      <c r="O3" s="12" t="inlineStr">
        <is>
          <t>역량환산점수(100)</t>
        </is>
      </c>
      <c r="P3" s="12" t="inlineStr">
        <is>
          <t>추천받은횟수</t>
        </is>
      </c>
      <c r="Q3" s="12" t="inlineStr">
        <is>
          <t>동료환산점수(100)</t>
        </is>
      </c>
      <c r="R3" s="12" t="inlineStr">
        <is>
          <t>자가점검 기준점수(100)</t>
        </is>
      </c>
      <c r="S3" s="12" t="inlineStr">
        <is>
          <t>팀장조정점수</t>
        </is>
      </c>
      <c r="T3" s="12" t="inlineStr">
        <is>
          <t>추천가산점</t>
        </is>
      </c>
      <c r="U3" s="12" t="inlineStr">
        <is>
          <t>최종점수</t>
        </is>
      </c>
      <c r="V3" s="12" t="inlineStr">
        <is>
          <t>순위</t>
        </is>
      </c>
    </row>
    <row r="4">
      <c r="A4" s="16" t="inlineStr">
        <is>
          <t>홍길동</t>
        </is>
      </c>
      <c r="B4" s="16">
        <f>INDIRECT("'자가점검표_"&amp;A4&amp;"'!B4")</f>
        <v/>
      </c>
      <c r="C4" s="16">
        <f>INDIRECT("'자가점검표_"&amp;A4&amp;"'!B11")</f>
        <v/>
      </c>
      <c r="D4" s="16">
        <f>INDIRECT("'자가점검표_"&amp;A4&amp;"'!B14")</f>
        <v/>
      </c>
      <c r="E4" s="16">
        <f>INDIRECT("'자가점검표_"&amp;A4&amp;"'!B17")</f>
        <v/>
      </c>
      <c r="F4" s="16">
        <f>INDIRECT("'자가점검표_"&amp;A4&amp;"'!B20")</f>
        <v/>
      </c>
      <c r="G4" s="16">
        <f>INDIRECT("'자가점검표_"&amp;A4&amp;"'!B22")</f>
        <v/>
      </c>
      <c r="H4" s="16">
        <f>INDIRECT("'자가점검표_"&amp;A4&amp;"'!B24")</f>
        <v/>
      </c>
      <c r="I4" s="16">
        <f>INDIRECT("'자가점검표_"&amp;A4&amp;"'!B26")</f>
        <v/>
      </c>
      <c r="J4" s="16">
        <f>AVERAGE(C4:I4)*10</f>
        <v/>
      </c>
      <c r="K4" s="16">
        <f>INDIRECT("'자가점검표_"&amp;A4&amp;"'!B31")</f>
        <v/>
      </c>
      <c r="L4" s="16">
        <f>INDIRECT("'자가점검표_"&amp;A4&amp;"'!B32")</f>
        <v/>
      </c>
      <c r="M4" s="16">
        <f>INDIRECT("'자가점검표_"&amp;A4&amp;"'!B33")</f>
        <v/>
      </c>
      <c r="N4" s="16">
        <f>INDIRECT("'자가점검표_"&amp;A4&amp;"'!B36")</f>
        <v/>
      </c>
      <c r="O4" s="16">
        <f>(K4/10*파라미터!$B$13)+(MIN(L4+M4,파라미터!$B$19)/파라미터!$B$19*파라미터!$B$14)+(N4/10*파라미터!$B$15)</f>
        <v/>
      </c>
      <c r="P4" s="16">
        <f>동료추천_집계!B11</f>
        <v/>
      </c>
      <c r="Q4" s="16">
        <f>MIN(P4,파라미터!$B$20)/파라미터!$B$20*100</f>
        <v/>
      </c>
      <c r="R4" s="16">
        <f>J4*파라미터!$B$4+O4*파라미터!$B$5+Q4*파라미터!$B$6</f>
        <v/>
      </c>
      <c r="S4" s="16">
        <f>'1on1_준비노트'!C5</f>
        <v/>
      </c>
      <c r="T4" s="16">
        <f>P4</f>
        <v/>
      </c>
      <c r="U4" s="16">
        <f>MAX(0,MIN(100,R4+S4+T4))</f>
        <v/>
      </c>
      <c r="V4" s="17">
        <f>RANK(U4,$U$4:$U$7,0)</f>
        <v/>
      </c>
    </row>
    <row r="5">
      <c r="A5" s="16" t="inlineStr">
        <is>
          <t>김영희</t>
        </is>
      </c>
      <c r="B5" s="16">
        <f>INDIRECT("'자가점검표_"&amp;A5&amp;"'!B4")</f>
        <v/>
      </c>
      <c r="C5" s="16">
        <f>INDIRECT("'자가점검표_"&amp;A5&amp;"'!B11")</f>
        <v/>
      </c>
      <c r="D5" s="16">
        <f>INDIRECT("'자가점검표_"&amp;A5&amp;"'!B14")</f>
        <v/>
      </c>
      <c r="E5" s="16">
        <f>INDIRECT("'자가점검표_"&amp;A5&amp;"'!B17")</f>
        <v/>
      </c>
      <c r="F5" s="16">
        <f>INDIRECT("'자가점검표_"&amp;A5&amp;"'!B20")</f>
        <v/>
      </c>
      <c r="G5" s="16">
        <f>INDIRECT("'자가점검표_"&amp;A5&amp;"'!B22")</f>
        <v/>
      </c>
      <c r="H5" s="16">
        <f>INDIRECT("'자가점검표_"&amp;A5&amp;"'!B24")</f>
        <v/>
      </c>
      <c r="I5" s="16">
        <f>INDIRECT("'자가점검표_"&amp;A5&amp;"'!B26")</f>
        <v/>
      </c>
      <c r="J5" s="16">
        <f>AVERAGE(C5:I5)*10</f>
        <v/>
      </c>
      <c r="K5" s="16">
        <f>INDIRECT("'자가점검표_"&amp;A5&amp;"'!B31")</f>
        <v/>
      </c>
      <c r="L5" s="16">
        <f>INDIRECT("'자가점검표_"&amp;A5&amp;"'!B32")</f>
        <v/>
      </c>
      <c r="M5" s="16">
        <f>INDIRECT("'자가점검표_"&amp;A5&amp;"'!B33")</f>
        <v/>
      </c>
      <c r="N5" s="16">
        <f>INDIRECT("'자가점검표_"&amp;A5&amp;"'!B36")</f>
        <v/>
      </c>
      <c r="O5" s="16">
        <f>(K5/10*파라미터!$B$13)+(MIN(L5+M5,파라미터!$B$19)/파라미터!$B$19*파라미터!$B$14)+(N5/10*파라미터!$B$15)</f>
        <v/>
      </c>
      <c r="P5" s="16">
        <f>동료추천_집계!B12</f>
        <v/>
      </c>
      <c r="Q5" s="16">
        <f>MIN(P5,파라미터!$B$20)/파라미터!$B$20*100</f>
        <v/>
      </c>
      <c r="R5" s="16">
        <f>J5*파라미터!$B$4+O5*파라미터!$B$5+Q5*파라미터!$B$6</f>
        <v/>
      </c>
      <c r="S5" s="16">
        <f>'1on1_준비노트'!C6</f>
        <v/>
      </c>
      <c r="T5" s="16">
        <f>P5</f>
        <v/>
      </c>
      <c r="U5" s="16">
        <f>MAX(0,MIN(100,R5+S5+T5))</f>
        <v/>
      </c>
      <c r="V5" s="17">
        <f>RANK(U5,$U$4:$U$7,0)</f>
        <v/>
      </c>
    </row>
    <row r="6">
      <c r="A6" s="16" t="inlineStr">
        <is>
          <t>이철수</t>
        </is>
      </c>
      <c r="B6" s="16">
        <f>INDIRECT("'자가점검표_"&amp;A6&amp;"'!B4")</f>
        <v/>
      </c>
      <c r="C6" s="16">
        <f>INDIRECT("'자가점검표_"&amp;A6&amp;"'!B11")</f>
        <v/>
      </c>
      <c r="D6" s="16">
        <f>INDIRECT("'자가점검표_"&amp;A6&amp;"'!B14")</f>
        <v/>
      </c>
      <c r="E6" s="16">
        <f>INDIRECT("'자가점검표_"&amp;A6&amp;"'!B17")</f>
        <v/>
      </c>
      <c r="F6" s="16">
        <f>INDIRECT("'자가점검표_"&amp;A6&amp;"'!B20")</f>
        <v/>
      </c>
      <c r="G6" s="16">
        <f>INDIRECT("'자가점검표_"&amp;A6&amp;"'!B22")</f>
        <v/>
      </c>
      <c r="H6" s="16">
        <f>INDIRECT("'자가점검표_"&amp;A6&amp;"'!B24")</f>
        <v/>
      </c>
      <c r="I6" s="16">
        <f>INDIRECT("'자가점검표_"&amp;A6&amp;"'!B26")</f>
        <v/>
      </c>
      <c r="J6" s="16">
        <f>AVERAGE(C6:I6)*10</f>
        <v/>
      </c>
      <c r="K6" s="16">
        <f>INDIRECT("'자가점검표_"&amp;A6&amp;"'!B31")</f>
        <v/>
      </c>
      <c r="L6" s="16">
        <f>INDIRECT("'자가점검표_"&amp;A6&amp;"'!B32")</f>
        <v/>
      </c>
      <c r="M6" s="16">
        <f>INDIRECT("'자가점검표_"&amp;A6&amp;"'!B33")</f>
        <v/>
      </c>
      <c r="N6" s="16">
        <f>INDIRECT("'자가점검표_"&amp;A6&amp;"'!B36")</f>
        <v/>
      </c>
      <c r="O6" s="16">
        <f>(K6/10*파라미터!$B$13)+(MIN(L6+M6,파라미터!$B$19)/파라미터!$B$19*파라미터!$B$14)+(N6/10*파라미터!$B$15)</f>
        <v/>
      </c>
      <c r="P6" s="16">
        <f>동료추천_집계!B13</f>
        <v/>
      </c>
      <c r="Q6" s="16">
        <f>MIN(P6,파라미터!$B$20)/파라미터!$B$20*100</f>
        <v/>
      </c>
      <c r="R6" s="16">
        <f>J6*파라미터!$B$4+O6*파라미터!$B$5+Q6*파라미터!$B$6</f>
        <v/>
      </c>
      <c r="S6" s="16">
        <f>'1on1_준비노트'!C7</f>
        <v/>
      </c>
      <c r="T6" s="16">
        <f>P6</f>
        <v/>
      </c>
      <c r="U6" s="16">
        <f>MAX(0,MIN(100,R6+S6+T6))</f>
        <v/>
      </c>
      <c r="V6" s="17">
        <f>RANK(U6,$U$4:$U$7,0)</f>
        <v/>
      </c>
    </row>
    <row r="7">
      <c r="A7" s="16" t="inlineStr">
        <is>
          <t>박민수</t>
        </is>
      </c>
      <c r="B7" s="16">
        <f>INDIRECT("'자가점검표_"&amp;A7&amp;"'!B4")</f>
        <v/>
      </c>
      <c r="C7" s="16">
        <f>INDIRECT("'자가점검표_"&amp;A7&amp;"'!B11")</f>
        <v/>
      </c>
      <c r="D7" s="16">
        <f>INDIRECT("'자가점검표_"&amp;A7&amp;"'!B14")</f>
        <v/>
      </c>
      <c r="E7" s="16">
        <f>INDIRECT("'자가점검표_"&amp;A7&amp;"'!B17")</f>
        <v/>
      </c>
      <c r="F7" s="16">
        <f>INDIRECT("'자가점검표_"&amp;A7&amp;"'!B20")</f>
        <v/>
      </c>
      <c r="G7" s="16">
        <f>INDIRECT("'자가점검표_"&amp;A7&amp;"'!B22")</f>
        <v/>
      </c>
      <c r="H7" s="16">
        <f>INDIRECT("'자가점검표_"&amp;A7&amp;"'!B24")</f>
        <v/>
      </c>
      <c r="I7" s="16">
        <f>INDIRECT("'자가점검표_"&amp;A7&amp;"'!B26")</f>
        <v/>
      </c>
      <c r="J7" s="16">
        <f>AVERAGE(C7:I7)*10</f>
        <v/>
      </c>
      <c r="K7" s="16">
        <f>INDIRECT("'자가점검표_"&amp;A7&amp;"'!B31")</f>
        <v/>
      </c>
      <c r="L7" s="16">
        <f>INDIRECT("'자가점검표_"&amp;A7&amp;"'!B32")</f>
        <v/>
      </c>
      <c r="M7" s="16">
        <f>INDIRECT("'자가점검표_"&amp;A7&amp;"'!B33")</f>
        <v/>
      </c>
      <c r="N7" s="16">
        <f>INDIRECT("'자가점검표_"&amp;A7&amp;"'!B36")</f>
        <v/>
      </c>
      <c r="O7" s="16">
        <f>(K7/10*파라미터!$B$13)+(MIN(L7+M7,파라미터!$B$19)/파라미터!$B$19*파라미터!$B$14)+(N7/10*파라미터!$B$15)</f>
        <v/>
      </c>
      <c r="P7" s="16">
        <f>동료추천_집계!B14</f>
        <v/>
      </c>
      <c r="Q7" s="16">
        <f>MIN(P7,파라미터!$B$20)/파라미터!$B$20*100</f>
        <v/>
      </c>
      <c r="R7" s="16">
        <f>J7*파라미터!$B$4+O7*파라미터!$B$5+Q7*파라미터!$B$6</f>
        <v/>
      </c>
      <c r="S7" s="16">
        <f>'1on1_준비노트'!C8</f>
        <v/>
      </c>
      <c r="T7" s="16">
        <f>P7</f>
        <v/>
      </c>
      <c r="U7" s="16">
        <f>MAX(0,MIN(100,R7+S7+T7))</f>
        <v/>
      </c>
      <c r="V7" s="17">
        <f>RANK(U7,$U$4:$U$7,0)</f>
        <v/>
      </c>
    </row>
    <row r="10">
      <c r="A10" s="8" t="inlineStr">
        <is>
          <t>※ 순위는 최종점수 내림차순 기준(RANK). 정렬해서 보려면 표를 선택한 뒤 데이터&gt;정렬을 이용하세요. 이 시트를 CSV로 저장하거나, 구성원 개인 자가점검표 파일들을 ranking_dashboard.html에 직접 업로드해도 동일하게 계산됩니다.</t>
        </is>
      </c>
    </row>
  </sheetData>
  <mergeCells count="2">
    <mergeCell ref="A10:V10"/>
    <mergeCell ref="A1:V1"/>
  </mergeCells>
  <conditionalFormatting sqref="U4:U7">
    <cfRule type="colorScale" priority="1">
      <colorScale>
        <cfvo type="min"/>
        <cfvo type="max"/>
        <color rgb="00FCE8E6"/>
        <color rgb="00CDE2F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2026-09-21T04:43:05Z</dcterms:created>
  <dcterms:modified xsi:type="dcterms:W3CDTF">2026-09-21T04:43:05Z</dcterms:modified>
</cp:coreProperties>
</file>