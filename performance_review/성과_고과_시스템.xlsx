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0" autoFilterDateGrouping="1"/>
  </bookViews>
  <sheets>
    <sheet name="안내" sheetId="1" state="visible" r:id="rId1"/>
    <sheet name="파라미터" sheetId="2" state="visible" r:id="rId2"/>
    <sheet name="자가점검표_템플릿" sheetId="3" state="visible" r:id="rId3"/>
    <sheet name="자가점검표_홍길동" sheetId="4" state="visible" r:id="rId4"/>
    <sheet name="자가점검표_김영희" sheetId="5" state="visible" r:id="rId5"/>
    <sheet name="자가점검표_이철수" sheetId="6" state="visible" r:id="rId6"/>
    <sheet name="자가점검표_박민수" sheetId="7" state="visible" r:id="rId7"/>
    <sheet name="동료추천_집계" sheetId="8" state="visible" r:id="rId8"/>
    <sheet name="팀장_정성평가" sheetId="9" state="visible" r:id="rId9"/>
    <sheet name="데이터입력_통합" sheetId="10" state="visible" r:id="rId10"/>
    <sheet name="계산_순위표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b val="1"/>
      <color rgb="00FFFFFF"/>
      <sz val="11"/>
    </font>
    <font>
      <name val="Arial"/>
      <b val="1"/>
      <color rgb="000B0B0B"/>
    </font>
    <font>
      <name val="Arial"/>
      <i val="1"/>
      <color rgb="00898781"/>
      <sz val="9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  <border>
      <left/>
      <right/>
      <top style="thin">
        <color rgb="00C3C2B7"/>
      </top>
      <bottom/>
      <diagonal/>
    </border>
    <border>
      <left/>
      <right style="thin">
        <color rgb="00C3C2B7"/>
      </right>
      <top style="thin">
        <color rgb="00C3C2B7"/>
      </top>
      <bottom/>
      <diagonal/>
    </border>
    <border>
      <left/>
      <right/>
      <top style="thin">
        <color rgb="00C3C2B7"/>
      </top>
      <bottom style="thin">
        <color rgb="00C3C2B7"/>
      </bottom>
      <diagonal/>
    </border>
    <border>
      <left/>
      <right style="thin">
        <color rgb="00C3C2B7"/>
      </right>
      <top style="thin">
        <color rgb="00C3C2B7"/>
      </top>
      <bottom style="thin">
        <color rgb="00C3C2B7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6" customHeight="1">
      <c r="A1" s="1" t="inlineStr">
        <is>
          <t>구성원 성과 자가점검 · 고과 순위산정 워크북 사용 안내</t>
        </is>
      </c>
    </row>
    <row r="3">
      <c r="B3" s="2" t="inlineStr">
        <is>
          <t>1. 전체 프로세스</t>
        </is>
      </c>
    </row>
    <row r="4">
      <c r="B4" s="3" t="inlineStr">
        <is>
          <t xml:space="preserve">  ① 각 구성원이 '자가점검표_템플릿' 시트를 복제해 본인 시트를 만들고 파란색 글자 칸을 채웁니다.</t>
        </is>
      </c>
    </row>
    <row r="5">
      <c r="B5" s="3" t="inlineStr">
        <is>
          <t xml:space="preserve">  ② 팀장은 '팀장_정성평가' 시트에서 각 구성원의 정성항목(성과/역량)에 1~5점을 매깁니다.</t>
        </is>
      </c>
    </row>
    <row r="6">
      <c r="B6" s="3" t="inlineStr">
        <is>
          <t xml:space="preserve">  ③ '데이터입력_통합' 시트가 모든 구성원 시트의 데이터를 수식(INDIRECT)으로 자동 병합합니다.</t>
        </is>
      </c>
    </row>
    <row r="7">
      <c r="B7" s="3" t="inlineStr">
        <is>
          <t xml:space="preserve">  ④ '동료추천_집계' 시트가 각 구성원 시트의 동료 추천 내용을 자동으로 모으고 추천 횟수를 집계합니다.</t>
        </is>
      </c>
    </row>
    <row r="8">
      <c r="B8" s="3" t="inlineStr">
        <is>
          <t xml:space="preserve">  ⑤ '계산_순위표' 시트가 성과/역량/동료평가 점수를 가중합산해 최종 순위를 계산합니다.</t>
        </is>
      </c>
    </row>
    <row r="9">
      <c r="B9" s="3" t="inlineStr">
        <is>
          <t xml:space="preserve">  ⑥ '계산_순위표' 시트를 CSV로 저장(파일&gt;다른 이름으로 저장&gt;CSV)한 뒤, ranking_dashboard.html 파일에 불러오면 그래프로 볼 수 있습니다.</t>
        </is>
      </c>
    </row>
    <row r="10">
      <c r="B10" s="3" t="inlineStr"/>
    </row>
    <row r="11">
      <c r="B11" s="2" t="inlineStr">
        <is>
          <t>6. 참고 (추가)</t>
        </is>
      </c>
    </row>
    <row r="12">
      <c r="B12" s="3" t="inlineStr">
        <is>
          <t xml:space="preserve">  - '데이터입력_통합' 시트의 중점과제1~3 칸은 과제명만 요약해서 보여줍니다. 목표/결과 전체 내용은 각 구성원의 '자가점검표_&lt;이름&gt;' 시트에서 확인하세요.</t>
        </is>
      </c>
    </row>
    <row r="13">
      <c r="B13" s="3" t="inlineStr">
        <is>
          <t xml:space="preserve">  - 이 파일을 Excel에서 열면 수식이 자동으로 계산됩니다(기본 계산 모드가 자동일 경우). 값이 보이지 않으면 [수식] 탭 &gt; [계산 옵션] &gt; [자동] 확인 후 F9를 눌러 재계산하세요.</t>
        </is>
      </c>
    </row>
    <row r="14">
      <c r="B14" s="3" t="inlineStr">
        <is>
          <t xml:space="preserve">  - 노란색 배경: 가중치 등 조정 가능한 파라미터 칸 ('파라미터' 시트)</t>
        </is>
      </c>
    </row>
    <row r="15">
      <c r="B15" s="3" t="inlineStr"/>
    </row>
    <row r="16">
      <c r="B16" s="2" t="inlineStr">
        <is>
          <t>3. 신규 구성원 추가 방법</t>
        </is>
      </c>
    </row>
    <row r="17">
      <c r="B17" s="3" t="inlineStr">
        <is>
          <t xml:space="preserve">  ① '자가점검표_템플릿' 시트를 복제하고 시트명을 '자가점검표_홍길동'처럼 '자가점검표_&lt;이름&gt;'으로 변경</t>
        </is>
      </c>
    </row>
    <row r="18">
      <c r="B18" s="3" t="inlineStr">
        <is>
          <t xml:space="preserve">  ② '데이터입력_통합', '동료추천_집계', '팀장_정성평가', '계산_순위표' 각 표의 마지막 행 아래에 새 행을 추가하고, 이름 칸에 이름을 입력한 뒤 윗 행의 수식을 그대로 복사(드래그)합니다.</t>
        </is>
      </c>
    </row>
    <row r="19">
      <c r="B19" s="3" t="inlineStr"/>
    </row>
    <row r="20">
      <c r="B20" s="2" t="inlineStr">
        <is>
          <t>4. 점수 산식 (파라미터 시트에서 가중치 조정 가능)</t>
        </is>
      </c>
    </row>
    <row r="21">
      <c r="B21" s="3" t="inlineStr">
        <is>
          <t xml:space="preserve">  - 성과환산점수(100) = 기여도(1~10→30점) + 성과도(1~10→30점) + 팀장 정성점수(1~5→40점)</t>
        </is>
      </c>
    </row>
    <row r="22">
      <c r="B22" s="3" t="inlineStr">
        <is>
          <t xml:space="preserve">  - 역량환산점수(100) = 학점환산(SKHU+mySuni, 상한 20학점→40점) + AI자가점수(1~10→30점) + 팀장 정성점수(1~5→30점)</t>
        </is>
      </c>
    </row>
    <row r="23">
      <c r="B23" s="3" t="inlineStr">
        <is>
          <t xml:space="preserve">  - 동료환산점수(100) = MIN(추천받은 횟수, 상한 4회) / 4 × 100</t>
        </is>
      </c>
    </row>
    <row r="24">
      <c r="B24" s="3" t="inlineStr">
        <is>
          <t xml:space="preserve">  - 최종점수 = 성과환산×60% + 역량환산×20% + 동료환산×20% (기본값, '파라미터' 시트에서 조정 가능)</t>
        </is>
      </c>
    </row>
    <row r="25">
      <c r="B25" s="3" t="inlineStr"/>
    </row>
    <row r="26">
      <c r="B26" s="2" t="inlineStr">
        <is>
          <t>5. 참고</t>
        </is>
      </c>
    </row>
    <row r="27">
      <c r="B27" s="3" t="inlineStr">
        <is>
          <t xml:space="preserve">  - 추천 사유, 아쉬운 성과 등 서술형(정성) 항목은 팀장/HR이 정성평가 시 참고자료로 활용하며, 최종 점수 계산에는 팀장 정성점수(1~5)로 환산되어 반영됩니다.</t>
        </is>
      </c>
    </row>
    <row r="28">
      <c r="B28" s="3" t="inlineStr">
        <is>
          <t xml:space="preserve">  - 이 워크북은 완전 오프라인으로 동작하며 외부 네트워크 연결이 필요하지 않습니다.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40" customWidth="1" min="3" max="3"/>
  </cols>
  <sheetData>
    <row r="1" ht="22" customHeight="1">
      <c r="A1" s="1" t="inlineStr">
        <is>
          <t>점수 산정 파라미터 (노란 칸만 수정)</t>
        </is>
      </c>
    </row>
    <row r="3" ht="20" customHeight="1">
      <c r="A3" s="4" t="inlineStr">
        <is>
          <t>전체 가중치 (성과/역량/동료평가)</t>
        </is>
      </c>
    </row>
    <row r="4">
      <c r="A4" s="5" t="inlineStr">
        <is>
          <t>성과(What) 가중치</t>
        </is>
      </c>
      <c r="B4" s="6" t="n">
        <v>0.6</v>
      </c>
    </row>
    <row r="5">
      <c r="A5" s="5" t="inlineStr">
        <is>
          <t>역량(How) 가중치</t>
        </is>
      </c>
      <c r="B5" s="6" t="n">
        <v>0.2</v>
      </c>
    </row>
    <row r="6">
      <c r="A6" s="5" t="inlineStr">
        <is>
          <t>동료평가(Peer) 가중치</t>
        </is>
      </c>
      <c r="B6" s="6" t="n">
        <v>0.2</v>
      </c>
    </row>
    <row r="7">
      <c r="A7" s="5" t="inlineStr">
        <is>
          <t>합계 검증</t>
        </is>
      </c>
      <c r="B7" s="5">
        <f>SUM(B4:B6)</f>
        <v/>
      </c>
      <c r="C7" s="5">
        <f>IF(ROUND(B7,4)=1,"OK","※ 합계가 100%가 아닙니다")</f>
        <v/>
      </c>
    </row>
    <row r="9" ht="20" customHeight="1">
      <c r="A9" s="4" t="inlineStr">
        <is>
          <t>성과(What) 세부 가중치 (100점 기준)</t>
        </is>
      </c>
    </row>
    <row r="10">
      <c r="A10" s="5" t="inlineStr">
        <is>
          <t>기여도 자가점수 가중치</t>
        </is>
      </c>
      <c r="B10" s="6" t="n">
        <v>30</v>
      </c>
    </row>
    <row r="11">
      <c r="A11" s="5" t="inlineStr">
        <is>
          <t>성과도 자가평가 가중치</t>
        </is>
      </c>
      <c r="B11" s="6" t="n">
        <v>30</v>
      </c>
    </row>
    <row r="12">
      <c r="A12" s="5" t="inlineStr">
        <is>
          <t>팀장 정성점수(성과) 가중치</t>
        </is>
      </c>
      <c r="B12" s="6" t="n">
        <v>40</v>
      </c>
    </row>
    <row r="13">
      <c r="A13" s="5" t="inlineStr">
        <is>
          <t>세부 합계 검증</t>
        </is>
      </c>
      <c r="B13" s="5">
        <f>SUM(B10:B12)</f>
        <v/>
      </c>
      <c r="C13" s="5">
        <f>IF(B13=100,"OK","※ 합계가 100이 아닙니다")</f>
        <v/>
      </c>
    </row>
    <row r="15" ht="20" customHeight="1">
      <c r="A15" s="4" t="inlineStr">
        <is>
          <t>역량(How) 세부 가중치 (100점 기준)</t>
        </is>
      </c>
    </row>
    <row r="16">
      <c r="A16" s="5" t="inlineStr">
        <is>
          <t>학점 환산 가중치 (SKHU+mySuni)</t>
        </is>
      </c>
      <c r="B16" s="6" t="n">
        <v>40</v>
      </c>
    </row>
    <row r="17">
      <c r="A17" s="5" t="inlineStr">
        <is>
          <t>AI 활용 역량 자가점수 가중치</t>
        </is>
      </c>
      <c r="B17" s="6" t="n">
        <v>30</v>
      </c>
    </row>
    <row r="18">
      <c r="A18" s="5" t="inlineStr">
        <is>
          <t>팀장 정성점수(역량) 가중치</t>
        </is>
      </c>
      <c r="B18" s="6" t="n">
        <v>30</v>
      </c>
    </row>
    <row r="19">
      <c r="A19" s="5" t="inlineStr">
        <is>
          <t>세부 합계 검증</t>
        </is>
      </c>
      <c r="B19" s="5">
        <f>SUM(B16:B18)</f>
        <v/>
      </c>
      <c r="C19" s="5">
        <f>IF(B19=100,"OK","※ 합계가 100이 아닙니다")</f>
        <v/>
      </c>
    </row>
    <row r="21" ht="20" customHeight="1">
      <c r="A21" s="4" t="inlineStr">
        <is>
          <t>환산 상한값</t>
        </is>
      </c>
    </row>
    <row r="22">
      <c r="A22" s="5" t="inlineStr">
        <is>
          <t>학점 만점 기준 상한 (SKHU+mySuni 합)</t>
        </is>
      </c>
      <c r="B22" s="6" t="n">
        <v>20</v>
      </c>
      <c r="C22" s="7" t="inlineStr">
        <is>
          <t>이 학점 이상이면 학점환산 만점(40점)</t>
        </is>
      </c>
    </row>
    <row r="23">
      <c r="A23" s="5" t="inlineStr">
        <is>
          <t>동료추천 만점 기준 상한 (횟수)</t>
        </is>
      </c>
      <c r="B23" s="6" t="n">
        <v>4</v>
      </c>
      <c r="C23" s="7" t="inlineStr">
        <is>
          <t>이 횟수 이상 추천받으면 동료환산 만점(100점)</t>
        </is>
      </c>
    </row>
  </sheetData>
  <mergeCells count="5">
    <mergeCell ref="A21:E21"/>
    <mergeCell ref="A1:C1"/>
    <mergeCell ref="A15:E15"/>
    <mergeCell ref="A9:E9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5" t="inlineStr">
        <is>
          <t>이름</t>
        </is>
      </c>
      <c r="B3" s="8" t="inlineStr">
        <is>
          <t>(이름 입력)</t>
        </is>
      </c>
      <c r="C3" s="18" t="n"/>
      <c r="D3" s="18" t="n"/>
      <c r="E3" s="19" t="n"/>
    </row>
    <row r="4">
      <c r="A4" s="5" t="inlineStr">
        <is>
          <t>파트/팀</t>
        </is>
      </c>
      <c r="B4" s="8" t="inlineStr">
        <is>
          <t>(파트 입력)</t>
        </is>
      </c>
      <c r="C4" s="18" t="n"/>
      <c r="D4" s="18" t="n"/>
      <c r="E4" s="19" t="n"/>
    </row>
    <row r="5">
      <c r="A5" s="5" t="inlineStr">
        <is>
          <t>직급</t>
        </is>
      </c>
      <c r="B5" s="8" t="inlineStr">
        <is>
          <t>(직급 입력)</t>
        </is>
      </c>
      <c r="C5" s="18" t="n"/>
      <c r="D5" s="18" t="n"/>
      <c r="E5" s="19" t="n"/>
    </row>
    <row r="6">
      <c r="A6" s="5" t="inlineStr">
        <is>
          <t>평가연도</t>
        </is>
      </c>
      <c r="B6" s="8" t="inlineStr">
        <is>
          <t>2026</t>
        </is>
      </c>
      <c r="C6" s="18" t="n"/>
      <c r="D6" s="18" t="n"/>
      <c r="E6" s="19" t="n"/>
    </row>
    <row r="8" ht="20" customHeight="1">
      <c r="A8" s="4" t="inlineStr">
        <is>
          <t>Ⅰ. 성과 (What)</t>
        </is>
      </c>
    </row>
    <row r="9">
      <c r="A9" s="5" t="inlineStr">
        <is>
          <t>중점과제 1순위 - 과제명</t>
        </is>
      </c>
      <c r="B9" s="8" t="inlineStr"/>
      <c r="C9" s="18" t="n"/>
      <c r="D9" s="18" t="n"/>
      <c r="E9" s="19" t="n"/>
    </row>
    <row r="10" ht="30" customHeight="1">
      <c r="A10" s="5" t="inlineStr">
        <is>
          <t>중점과제 1순위 - 목표 및 결과</t>
        </is>
      </c>
      <c r="B10" s="8" t="inlineStr"/>
      <c r="C10" s="18" t="n"/>
      <c r="D10" s="18" t="n"/>
      <c r="E10" s="19" t="n"/>
    </row>
    <row r="11">
      <c r="A11" s="5" t="inlineStr">
        <is>
          <t>중점과제 2순위 - 과제명</t>
        </is>
      </c>
      <c r="B11" s="8" t="inlineStr"/>
      <c r="C11" s="18" t="n"/>
      <c r="D11" s="18" t="n"/>
      <c r="E11" s="19" t="n"/>
    </row>
    <row r="12" ht="30" customHeight="1">
      <c r="A12" s="5" t="inlineStr">
        <is>
          <t>중점과제 2순위 - 목표 및 결과</t>
        </is>
      </c>
      <c r="B12" s="8" t="inlineStr"/>
      <c r="C12" s="18" t="n"/>
      <c r="D12" s="18" t="n"/>
      <c r="E12" s="19" t="n"/>
    </row>
    <row r="13">
      <c r="A13" s="5" t="inlineStr">
        <is>
          <t>중점과제 3순위 - 과제명</t>
        </is>
      </c>
      <c r="B13" s="8" t="inlineStr"/>
      <c r="C13" s="18" t="n"/>
      <c r="D13" s="18" t="n"/>
      <c r="E13" s="19" t="n"/>
    </row>
    <row r="14" ht="30" customHeight="1">
      <c r="A14" s="5" t="inlineStr">
        <is>
          <t>중점과제 3순위 - 목표 및 결과</t>
        </is>
      </c>
      <c r="B14" s="8" t="inlineStr"/>
      <c r="C14" s="18" t="n"/>
      <c r="D14" s="18" t="n"/>
      <c r="E14" s="19" t="n"/>
    </row>
    <row r="15">
      <c r="A15" s="5" t="inlineStr">
        <is>
          <t>추가 과제</t>
        </is>
      </c>
      <c r="B15" s="8" t="inlineStr"/>
      <c r="C15" s="18" t="n"/>
      <c r="D15" s="18" t="n"/>
      <c r="E15" s="19" t="n"/>
    </row>
    <row r="16" ht="30" customHeight="1">
      <c r="A16" s="5" t="inlineStr">
        <is>
          <t>가장 아쉬운 성과 (사유 포함)</t>
        </is>
      </c>
      <c r="B16" s="8" t="inlineStr"/>
      <c r="C16" s="18" t="n"/>
      <c r="D16" s="18" t="n"/>
      <c r="E16" s="19" t="n"/>
    </row>
    <row r="17">
      <c r="A17" s="5" t="inlineStr">
        <is>
          <t>내가 팀 성과에 기여한 정도 (1~10, 정량)</t>
        </is>
      </c>
      <c r="B17" s="8" t="n"/>
      <c r="C17" s="18" t="n"/>
      <c r="D17" s="18" t="n"/>
      <c r="E17" s="19" t="n"/>
    </row>
    <row r="18">
      <c r="A18" s="5" t="inlineStr">
        <is>
          <t>자신의 역할에 비추어 올해 성과도 자가평가 (1~10, 정량)</t>
        </is>
      </c>
      <c r="B18" s="8" t="n"/>
      <c r="C18" s="18" t="n"/>
      <c r="D18" s="18" t="n"/>
      <c r="E18" s="19" t="n"/>
    </row>
    <row r="20" ht="20" customHeight="1">
      <c r="A20" s="4" t="inlineStr">
        <is>
          <t>Ⅱ. 역량 (How) - 전문성 강화를 위한 노력</t>
        </is>
      </c>
    </row>
    <row r="21" ht="30" customHeight="1">
      <c r="A21" s="5" t="inlineStr">
        <is>
          <t>전문성 강화를 위한 노력</t>
        </is>
      </c>
      <c r="B21" s="8" t="inlineStr"/>
      <c r="C21" s="18" t="n"/>
      <c r="D21" s="18" t="n"/>
      <c r="E21" s="19" t="n"/>
    </row>
    <row r="22">
      <c r="A22" s="5" t="inlineStr">
        <is>
          <t>지식측면: SKHU 수료 학점</t>
        </is>
      </c>
      <c r="B22" s="8" t="n"/>
      <c r="C22" s="18" t="n"/>
      <c r="D22" s="18" t="n"/>
      <c r="E22" s="19" t="n"/>
    </row>
    <row r="23">
      <c r="A23" s="5" t="inlineStr">
        <is>
          <t>지식측면: mySuni 수료 학점</t>
        </is>
      </c>
      <c r="B23" s="8" t="n"/>
      <c r="C23" s="18" t="n"/>
      <c r="D23" s="18" t="n"/>
      <c r="E23" s="19" t="n"/>
    </row>
    <row r="24">
      <c r="A24" s="5" t="inlineStr">
        <is>
          <t>AI 활용 역량 자가점수 (1~10, 정량)</t>
        </is>
      </c>
      <c r="B24" s="8" t="n"/>
      <c r="C24" s="18" t="n"/>
      <c r="D24" s="18" t="n"/>
      <c r="E24" s="19" t="n"/>
    </row>
    <row r="25" ht="30" customHeight="1">
      <c r="A25" s="5" t="inlineStr">
        <is>
          <t>AI 활용 사례</t>
        </is>
      </c>
      <c r="B25" s="8" t="inlineStr"/>
      <c r="C25" s="18" t="n"/>
      <c r="D25" s="18" t="n"/>
      <c r="E25" s="19" t="n"/>
    </row>
    <row r="27" ht="20" customHeight="1">
      <c r="A27" s="4" t="inlineStr">
        <is>
          <t>Ⅲ. 동료평가 (Peer) 추천 - 본인파트 1명 + 타파트 1명</t>
        </is>
      </c>
    </row>
    <row r="28">
      <c r="A28" s="5" t="inlineStr">
        <is>
          <t>본인 파트 추천 동료 - 이름</t>
        </is>
      </c>
      <c r="B28" s="8" t="inlineStr"/>
      <c r="C28" s="18" t="n"/>
      <c r="D28" s="18" t="n"/>
      <c r="E28" s="19" t="n"/>
    </row>
    <row r="29" ht="30" customHeight="1">
      <c r="A29" s="5" t="inlineStr">
        <is>
          <t>본인 파트 추천 동료 - 추천 사유</t>
        </is>
      </c>
      <c r="B29" s="8" t="inlineStr"/>
      <c r="C29" s="18" t="n"/>
      <c r="D29" s="18" t="n"/>
      <c r="E29" s="19" t="n"/>
    </row>
    <row r="30">
      <c r="A30" s="5" t="inlineStr">
        <is>
          <t>타 파트 추천 동료 - 이름</t>
        </is>
      </c>
      <c r="B30" s="8" t="inlineStr"/>
      <c r="C30" s="18" t="n"/>
      <c r="D30" s="18" t="n"/>
      <c r="E30" s="19" t="n"/>
    </row>
    <row r="31" ht="30" customHeight="1">
      <c r="A31" s="5" t="inlineStr">
        <is>
          <t>타 파트 추천 동료 - 추천 사유</t>
        </is>
      </c>
      <c r="B31" s="8" t="inlineStr"/>
      <c r="C31" s="18" t="n"/>
      <c r="D31" s="18" t="n"/>
      <c r="E31" s="19" t="n"/>
    </row>
    <row r="33">
      <c r="A33" s="9" t="inlineStr">
        <is>
          <t>※ 이 시트를 복제하여 시트명을 '자가점검표_&lt;이름&gt;' 형식으로 변경한 뒤 사용하세요. 파란색 글자 칸(B열)만 입력하면 됩니다. 숫자 항목은 1~10 사이 정수만 허용됩니다.</t>
        </is>
      </c>
    </row>
    <row r="34"/>
  </sheetData>
  <mergeCells count="28">
    <mergeCell ref="B9:E9"/>
    <mergeCell ref="B6:E6"/>
    <mergeCell ref="B30:E30"/>
    <mergeCell ref="B15:E15"/>
    <mergeCell ref="A1:E1"/>
    <mergeCell ref="B24:E24"/>
    <mergeCell ref="B5:E5"/>
    <mergeCell ref="A33:E34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5" t="inlineStr">
        <is>
          <t>이름</t>
        </is>
      </c>
      <c r="B3" s="8" t="inlineStr">
        <is>
          <t>홍길동</t>
        </is>
      </c>
      <c r="C3" s="18" t="n"/>
      <c r="D3" s="18" t="n"/>
      <c r="E3" s="19" t="n"/>
    </row>
    <row r="4">
      <c r="A4" s="5" t="inlineStr">
        <is>
          <t>파트/팀</t>
        </is>
      </c>
      <c r="B4" s="8" t="inlineStr">
        <is>
          <t>개발파트</t>
        </is>
      </c>
      <c r="C4" s="18" t="n"/>
      <c r="D4" s="18" t="n"/>
      <c r="E4" s="19" t="n"/>
    </row>
    <row r="5">
      <c r="A5" s="5" t="inlineStr">
        <is>
          <t>직급</t>
        </is>
      </c>
      <c r="B5" s="8" t="inlineStr">
        <is>
          <t>선임</t>
        </is>
      </c>
      <c r="C5" s="18" t="n"/>
      <c r="D5" s="18" t="n"/>
      <c r="E5" s="19" t="n"/>
    </row>
    <row r="6">
      <c r="A6" s="5" t="inlineStr">
        <is>
          <t>평가연도</t>
        </is>
      </c>
      <c r="B6" s="8" t="inlineStr">
        <is>
          <t>2026</t>
        </is>
      </c>
      <c r="C6" s="18" t="n"/>
      <c r="D6" s="18" t="n"/>
      <c r="E6" s="19" t="n"/>
    </row>
    <row r="8" ht="20" customHeight="1">
      <c r="A8" s="4" t="inlineStr">
        <is>
          <t>Ⅰ. 성과 (What)</t>
        </is>
      </c>
    </row>
    <row r="9">
      <c r="A9" s="5" t="inlineStr">
        <is>
          <t>중점과제 1순위 - 과제명</t>
        </is>
      </c>
      <c r="B9" s="8" t="inlineStr">
        <is>
          <t>차세대 반도체 공정 수율 개선</t>
        </is>
      </c>
      <c r="C9" s="18" t="n"/>
      <c r="D9" s="18" t="n"/>
      <c r="E9" s="19" t="n"/>
    </row>
    <row r="10" ht="30" customHeight="1">
      <c r="A10" s="5" t="inlineStr">
        <is>
          <t>중점과제 1순위 - 목표 및 결과</t>
        </is>
      </c>
      <c r="B10" s="8" t="inlineStr">
        <is>
          <t>목표 수율 95% -&gt; 실적 96.2% 달성, 불량률 30% 감소</t>
        </is>
      </c>
      <c r="C10" s="18" t="n"/>
      <c r="D10" s="18" t="n"/>
      <c r="E10" s="19" t="n"/>
    </row>
    <row r="11">
      <c r="A11" s="5" t="inlineStr">
        <is>
          <t>중점과제 2순위 - 과제명</t>
        </is>
      </c>
      <c r="B11" s="8" t="inlineStr">
        <is>
          <t>설비 예방정비 체계 고도화</t>
        </is>
      </c>
      <c r="C11" s="18" t="n"/>
      <c r="D11" s="18" t="n"/>
      <c r="E11" s="19" t="n"/>
    </row>
    <row r="12" ht="30" customHeight="1">
      <c r="A12" s="5" t="inlineStr">
        <is>
          <t>중점과제 2순위 - 목표 및 결과</t>
        </is>
      </c>
      <c r="B12" s="8" t="inlineStr">
        <is>
          <t>정비 주기 표준화로 비가동시간 15% 단축</t>
        </is>
      </c>
      <c r="C12" s="18" t="n"/>
      <c r="D12" s="18" t="n"/>
      <c r="E12" s="19" t="n"/>
    </row>
    <row r="13">
      <c r="A13" s="5" t="inlineStr">
        <is>
          <t>중점과제 3순위 - 과제명</t>
        </is>
      </c>
      <c r="B13" s="8" t="inlineStr">
        <is>
          <t>신규 라인 셋업 지원</t>
        </is>
      </c>
      <c r="C13" s="18" t="n"/>
      <c r="D13" s="18" t="n"/>
      <c r="E13" s="19" t="n"/>
    </row>
    <row r="14" ht="30" customHeight="1">
      <c r="A14" s="5" t="inlineStr">
        <is>
          <t>중점과제 3순위 - 목표 및 결과</t>
        </is>
      </c>
      <c r="B14" s="8" t="inlineStr">
        <is>
          <t>셋업 기간 2주 단축, 초기 수율 목표 조기 달성</t>
        </is>
      </c>
      <c r="C14" s="18" t="n"/>
      <c r="D14" s="18" t="n"/>
      <c r="E14" s="19" t="n"/>
    </row>
    <row r="15">
      <c r="A15" s="5" t="inlineStr">
        <is>
          <t>추가 과제</t>
        </is>
      </c>
      <c r="B15" s="8" t="inlineStr">
        <is>
          <t>사내 데이터 분석 스터디 운영 (분기 4회)</t>
        </is>
      </c>
      <c r="C15" s="18" t="n"/>
      <c r="D15" s="18" t="n"/>
      <c r="E15" s="19" t="n"/>
    </row>
    <row r="16" ht="30" customHeight="1">
      <c r="A16" s="5" t="inlineStr">
        <is>
          <t>가장 아쉬운 성과 (사유 포함)</t>
        </is>
      </c>
      <c r="B16" s="8" t="inlineStr">
        <is>
          <t>설비 장애 대응 매뉴얼 정비가 지연되어 일부 재발 방지 조치가 늦어짐</t>
        </is>
      </c>
      <c r="C16" s="18" t="n"/>
      <c r="D16" s="18" t="n"/>
      <c r="E16" s="19" t="n"/>
    </row>
    <row r="17">
      <c r="A17" s="5" t="inlineStr">
        <is>
          <t>내가 팀 성과에 기여한 정도 (1~10, 정량)</t>
        </is>
      </c>
      <c r="B17" s="8" t="n">
        <v>8</v>
      </c>
      <c r="C17" s="18" t="n"/>
      <c r="D17" s="18" t="n"/>
      <c r="E17" s="19" t="n"/>
    </row>
    <row r="18">
      <c r="A18" s="5" t="inlineStr">
        <is>
          <t>자신의 역할에 비추어 올해 성과도 자가평가 (1~10, 정량)</t>
        </is>
      </c>
      <c r="B18" s="8" t="n">
        <v>7</v>
      </c>
      <c r="C18" s="18" t="n"/>
      <c r="D18" s="18" t="n"/>
      <c r="E18" s="19" t="n"/>
    </row>
    <row r="20" ht="20" customHeight="1">
      <c r="A20" s="4" t="inlineStr">
        <is>
          <t>Ⅱ. 역량 (How) - 전문성 강화를 위한 노력</t>
        </is>
      </c>
    </row>
    <row r="21" ht="30" customHeight="1">
      <c r="A21" s="5" t="inlineStr">
        <is>
          <t>전문성 강화를 위한 노력</t>
        </is>
      </c>
      <c r="B21" s="8" t="inlineStr">
        <is>
          <t>공정 데이터 분석 역량 강화를 위해 통계 분석 사내교육 이수 및 실무 적용</t>
        </is>
      </c>
      <c r="C21" s="18" t="n"/>
      <c r="D21" s="18" t="n"/>
      <c r="E21" s="19" t="n"/>
    </row>
    <row r="22">
      <c r="A22" s="5" t="inlineStr">
        <is>
          <t>지식측면: SKHU 수료 학점</t>
        </is>
      </c>
      <c r="B22" s="8" t="n">
        <v>6</v>
      </c>
      <c r="C22" s="18" t="n"/>
      <c r="D22" s="18" t="n"/>
      <c r="E22" s="19" t="n"/>
    </row>
    <row r="23">
      <c r="A23" s="5" t="inlineStr">
        <is>
          <t>지식측면: mySuni 수료 학점</t>
        </is>
      </c>
      <c r="B23" s="8" t="n">
        <v>4</v>
      </c>
      <c r="C23" s="18" t="n"/>
      <c r="D23" s="18" t="n"/>
      <c r="E23" s="19" t="n"/>
    </row>
    <row r="24">
      <c r="A24" s="5" t="inlineStr">
        <is>
          <t>AI 활용 역량 자가점수 (1~10, 정량)</t>
        </is>
      </c>
      <c r="B24" s="8" t="n">
        <v>8</v>
      </c>
      <c r="C24" s="18" t="n"/>
      <c r="D24" s="18" t="n"/>
      <c r="E24" s="19" t="n"/>
    </row>
    <row r="25" ht="30" customHeight="1">
      <c r="A25" s="5" t="inlineStr">
        <is>
          <t>AI 활용 사례</t>
        </is>
      </c>
      <c r="B25" s="8" t="inlineStr">
        <is>
          <t>공정 이상 탐지에 AI 이상탐지 모델 프로토타입 적용, 조기경보 체계 구축</t>
        </is>
      </c>
      <c r="C25" s="18" t="n"/>
      <c r="D25" s="18" t="n"/>
      <c r="E25" s="19" t="n"/>
    </row>
    <row r="27" ht="20" customHeight="1">
      <c r="A27" s="4" t="inlineStr">
        <is>
          <t>Ⅲ. 동료평가 (Peer) 추천 - 본인파트 1명 + 타파트 1명</t>
        </is>
      </c>
    </row>
    <row r="28">
      <c r="A28" s="5" t="inlineStr">
        <is>
          <t>본인 파트 추천 동료 - 이름</t>
        </is>
      </c>
      <c r="B28" s="8" t="inlineStr">
        <is>
          <t>김영희</t>
        </is>
      </c>
      <c r="C28" s="18" t="n"/>
      <c r="D28" s="18" t="n"/>
      <c r="E28" s="19" t="n"/>
    </row>
    <row r="29" ht="30" customHeight="1">
      <c r="A29" s="5" t="inlineStr">
        <is>
          <t>본인 파트 추천 동료 - 추천 사유</t>
        </is>
      </c>
      <c r="B29" s="8" t="inlineStr">
        <is>
          <t>데이터 기반 문제해결 방식이 팀 전체 업무 표준화에 크게 기여함</t>
        </is>
      </c>
      <c r="C29" s="18" t="n"/>
      <c r="D29" s="18" t="n"/>
      <c r="E29" s="19" t="n"/>
    </row>
    <row r="30">
      <c r="A30" s="5" t="inlineStr">
        <is>
          <t>타 파트 추천 동료 - 이름</t>
        </is>
      </c>
      <c r="B30" s="8" t="inlineStr">
        <is>
          <t>이철수</t>
        </is>
      </c>
      <c r="C30" s="18" t="n"/>
      <c r="D30" s="18" t="n"/>
      <c r="E30" s="19" t="n"/>
    </row>
    <row r="31" ht="30" customHeight="1">
      <c r="A31" s="5" t="inlineStr">
        <is>
          <t>타 파트 추천 동료 - 추천 사유</t>
        </is>
      </c>
      <c r="B31" s="8" t="inlineStr">
        <is>
          <t>기획-현업 협업 시 데이터 요청에 신속하고 정확하게 대응함</t>
        </is>
      </c>
      <c r="C31" s="18" t="n"/>
      <c r="D31" s="18" t="n"/>
      <c r="E31" s="19" t="n"/>
    </row>
  </sheetData>
  <mergeCells count="27">
    <mergeCell ref="B9:E9"/>
    <mergeCell ref="B6:E6"/>
    <mergeCell ref="B30:E30"/>
    <mergeCell ref="B15:E15"/>
    <mergeCell ref="A1:E1"/>
    <mergeCell ref="B24:E24"/>
    <mergeCell ref="B5:E5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5" t="inlineStr">
        <is>
          <t>이름</t>
        </is>
      </c>
      <c r="B3" s="8" t="inlineStr">
        <is>
          <t>김영희</t>
        </is>
      </c>
      <c r="C3" s="18" t="n"/>
      <c r="D3" s="18" t="n"/>
      <c r="E3" s="19" t="n"/>
    </row>
    <row r="4">
      <c r="A4" s="5" t="inlineStr">
        <is>
          <t>파트/팀</t>
        </is>
      </c>
      <c r="B4" s="8" t="inlineStr">
        <is>
          <t>개발파트</t>
        </is>
      </c>
      <c r="C4" s="18" t="n"/>
      <c r="D4" s="18" t="n"/>
      <c r="E4" s="19" t="n"/>
    </row>
    <row r="5">
      <c r="A5" s="5" t="inlineStr">
        <is>
          <t>직급</t>
        </is>
      </c>
      <c r="B5" s="8" t="inlineStr">
        <is>
          <t>책임</t>
        </is>
      </c>
      <c r="C5" s="18" t="n"/>
      <c r="D5" s="18" t="n"/>
      <c r="E5" s="19" t="n"/>
    </row>
    <row r="6">
      <c r="A6" s="5" t="inlineStr">
        <is>
          <t>평가연도</t>
        </is>
      </c>
      <c r="B6" s="8" t="inlineStr">
        <is>
          <t>2026</t>
        </is>
      </c>
      <c r="C6" s="18" t="n"/>
      <c r="D6" s="18" t="n"/>
      <c r="E6" s="19" t="n"/>
    </row>
    <row r="8" ht="20" customHeight="1">
      <c r="A8" s="4" t="inlineStr">
        <is>
          <t>Ⅰ. 성과 (What)</t>
        </is>
      </c>
    </row>
    <row r="9">
      <c r="A9" s="5" t="inlineStr">
        <is>
          <t>중점과제 1순위 - 과제명</t>
        </is>
      </c>
      <c r="B9" s="8" t="inlineStr">
        <is>
          <t>품질 이슈 Root Cause 분석 체계 구축</t>
        </is>
      </c>
      <c r="C9" s="18" t="n"/>
      <c r="D9" s="18" t="n"/>
      <c r="E9" s="19" t="n"/>
    </row>
    <row r="10" ht="30" customHeight="1">
      <c r="A10" s="5" t="inlineStr">
        <is>
          <t>중점과제 1순위 - 목표 및 결과</t>
        </is>
      </c>
      <c r="B10" s="8" t="inlineStr">
        <is>
          <t>분석 리드타임 40% 단축, 재발률 20%p 감소</t>
        </is>
      </c>
      <c r="C10" s="18" t="n"/>
      <c r="D10" s="18" t="n"/>
      <c r="E10" s="19" t="n"/>
    </row>
    <row r="11">
      <c r="A11" s="5" t="inlineStr">
        <is>
          <t>중점과제 2순위 - 과제명</t>
        </is>
      </c>
      <c r="B11" s="8" t="inlineStr">
        <is>
          <t>협력사 품질 감사 프로세스 개선</t>
        </is>
      </c>
      <c r="C11" s="18" t="n"/>
      <c r="D11" s="18" t="n"/>
      <c r="E11" s="19" t="n"/>
    </row>
    <row r="12" ht="30" customHeight="1">
      <c r="A12" s="5" t="inlineStr">
        <is>
          <t>중점과제 2순위 - 목표 및 결과</t>
        </is>
      </c>
      <c r="B12" s="8" t="inlineStr">
        <is>
          <t>감사 항목 표준화로 감사 소요일 3일-&gt;1.5일</t>
        </is>
      </c>
      <c r="C12" s="18" t="n"/>
      <c r="D12" s="18" t="n"/>
      <c r="E12" s="19" t="n"/>
    </row>
    <row r="13">
      <c r="A13" s="5" t="inlineStr">
        <is>
          <t>중점과제 3순위 - 과제명</t>
        </is>
      </c>
      <c r="B13" s="8" t="inlineStr">
        <is>
          <t>신입 사원 OJT 프로그램 설계</t>
        </is>
      </c>
      <c r="C13" s="18" t="n"/>
      <c r="D13" s="18" t="n"/>
      <c r="E13" s="19" t="n"/>
    </row>
    <row r="14" ht="30" customHeight="1">
      <c r="A14" s="5" t="inlineStr">
        <is>
          <t>중점과제 3순위 - 목표 및 결과</t>
        </is>
      </c>
      <c r="B14" s="8" t="inlineStr">
        <is>
          <t>OJT 만족도 4.6/5.0, 조기 전력화 기간 단축</t>
        </is>
      </c>
      <c r="C14" s="18" t="n"/>
      <c r="D14" s="18" t="n"/>
      <c r="E14" s="19" t="n"/>
    </row>
    <row r="15">
      <c r="A15" s="5" t="inlineStr">
        <is>
          <t>추가 과제</t>
        </is>
      </c>
      <c r="B15" s="8" t="inlineStr">
        <is>
          <t>품질 데이터 대시보드 구축 (부서 공용)</t>
        </is>
      </c>
      <c r="C15" s="18" t="n"/>
      <c r="D15" s="18" t="n"/>
      <c r="E15" s="19" t="n"/>
    </row>
    <row r="16" ht="30" customHeight="1">
      <c r="A16" s="5" t="inlineStr">
        <is>
          <t>가장 아쉬운 성과 (사유 포함)</t>
        </is>
      </c>
      <c r="B16" s="8" t="inlineStr">
        <is>
          <t>협력사 감사 프로세스 전사 확산까지는 완료하지 못함</t>
        </is>
      </c>
      <c r="C16" s="18" t="n"/>
      <c r="D16" s="18" t="n"/>
      <c r="E16" s="19" t="n"/>
    </row>
    <row r="17">
      <c r="A17" s="5" t="inlineStr">
        <is>
          <t>내가 팀 성과에 기여한 정도 (1~10, 정량)</t>
        </is>
      </c>
      <c r="B17" s="8" t="n">
        <v>9</v>
      </c>
      <c r="C17" s="18" t="n"/>
      <c r="D17" s="18" t="n"/>
      <c r="E17" s="19" t="n"/>
    </row>
    <row r="18">
      <c r="A18" s="5" t="inlineStr">
        <is>
          <t>자신의 역할에 비추어 올해 성과도 자가평가 (1~10, 정량)</t>
        </is>
      </c>
      <c r="B18" s="8" t="n">
        <v>9</v>
      </c>
      <c r="C18" s="18" t="n"/>
      <c r="D18" s="18" t="n"/>
      <c r="E18" s="19" t="n"/>
    </row>
    <row r="20" ht="20" customHeight="1">
      <c r="A20" s="4" t="inlineStr">
        <is>
          <t>Ⅱ. 역량 (How) - 전문성 강화를 위한 노력</t>
        </is>
      </c>
    </row>
    <row r="21" ht="30" customHeight="1">
      <c r="A21" s="5" t="inlineStr">
        <is>
          <t>전문성 강화를 위한 노력</t>
        </is>
      </c>
      <c r="B21" s="8" t="inlineStr">
        <is>
          <t>품질 데이터 분석 전문성 강화를 위한 통계 심화 과정 수료</t>
        </is>
      </c>
      <c r="C21" s="18" t="n"/>
      <c r="D21" s="18" t="n"/>
      <c r="E21" s="19" t="n"/>
    </row>
    <row r="22">
      <c r="A22" s="5" t="inlineStr">
        <is>
          <t>지식측면: SKHU 수료 학점</t>
        </is>
      </c>
      <c r="B22" s="8" t="n">
        <v>8</v>
      </c>
      <c r="C22" s="18" t="n"/>
      <c r="D22" s="18" t="n"/>
      <c r="E22" s="19" t="n"/>
    </row>
    <row r="23">
      <c r="A23" s="5" t="inlineStr">
        <is>
          <t>지식측면: mySuni 수료 학점</t>
        </is>
      </c>
      <c r="B23" s="8" t="n">
        <v>6</v>
      </c>
      <c r="C23" s="18" t="n"/>
      <c r="D23" s="18" t="n"/>
      <c r="E23" s="19" t="n"/>
    </row>
    <row r="24">
      <c r="A24" s="5" t="inlineStr">
        <is>
          <t>AI 활용 역량 자가점수 (1~10, 정량)</t>
        </is>
      </c>
      <c r="B24" s="8" t="n">
        <v>7</v>
      </c>
      <c r="C24" s="18" t="n"/>
      <c r="D24" s="18" t="n"/>
      <c r="E24" s="19" t="n"/>
    </row>
    <row r="25" ht="30" customHeight="1">
      <c r="A25" s="5" t="inlineStr">
        <is>
          <t>AI 활용 사례</t>
        </is>
      </c>
      <c r="B25" s="8" t="inlineStr">
        <is>
          <t>불량 예측 모델에 AI 활용 검토, PoC 진행</t>
        </is>
      </c>
      <c r="C25" s="18" t="n"/>
      <c r="D25" s="18" t="n"/>
      <c r="E25" s="19" t="n"/>
    </row>
    <row r="27" ht="20" customHeight="1">
      <c r="A27" s="4" t="inlineStr">
        <is>
          <t>Ⅲ. 동료평가 (Peer) 추천 - 본인파트 1명 + 타파트 1명</t>
        </is>
      </c>
    </row>
    <row r="28">
      <c r="A28" s="5" t="inlineStr">
        <is>
          <t>본인 파트 추천 동료 - 이름</t>
        </is>
      </c>
      <c r="B28" s="8" t="inlineStr">
        <is>
          <t>홍길동</t>
        </is>
      </c>
      <c r="C28" s="18" t="n"/>
      <c r="D28" s="18" t="n"/>
      <c r="E28" s="19" t="n"/>
    </row>
    <row r="29" ht="30" customHeight="1">
      <c r="A29" s="5" t="inlineStr">
        <is>
          <t>본인 파트 추천 동료 - 추천 사유</t>
        </is>
      </c>
      <c r="B29" s="8" t="inlineStr">
        <is>
          <t>공정 이슈 발생 시 근본 원인 분석을 함께 리드하며 신뢰도 높은 협업을 보여줌</t>
        </is>
      </c>
      <c r="C29" s="18" t="n"/>
      <c r="D29" s="18" t="n"/>
      <c r="E29" s="19" t="n"/>
    </row>
    <row r="30">
      <c r="A30" s="5" t="inlineStr">
        <is>
          <t>타 파트 추천 동료 - 이름</t>
        </is>
      </c>
      <c r="B30" s="8" t="inlineStr">
        <is>
          <t>이철수</t>
        </is>
      </c>
      <c r="C30" s="18" t="n"/>
      <c r="D30" s="18" t="n"/>
      <c r="E30" s="19" t="n"/>
    </row>
    <row r="31" ht="30" customHeight="1">
      <c r="A31" s="5" t="inlineStr">
        <is>
          <t>타 파트 추천 동료 - 추천 사유</t>
        </is>
      </c>
      <c r="B31" s="8" t="inlineStr">
        <is>
          <t>품질-기획 간 일정 조율에서 상호 입장을 잘 이해하고 합리적으로 조정함</t>
        </is>
      </c>
      <c r="C31" s="18" t="n"/>
      <c r="D31" s="18" t="n"/>
      <c r="E31" s="19" t="n"/>
    </row>
  </sheetData>
  <mergeCells count="27">
    <mergeCell ref="B9:E9"/>
    <mergeCell ref="B6:E6"/>
    <mergeCell ref="B30:E30"/>
    <mergeCell ref="B15:E15"/>
    <mergeCell ref="A1:E1"/>
    <mergeCell ref="B24:E24"/>
    <mergeCell ref="B5:E5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5" t="inlineStr">
        <is>
          <t>이름</t>
        </is>
      </c>
      <c r="B3" s="8" t="inlineStr">
        <is>
          <t>이철수</t>
        </is>
      </c>
      <c r="C3" s="18" t="n"/>
      <c r="D3" s="18" t="n"/>
      <c r="E3" s="19" t="n"/>
    </row>
    <row r="4">
      <c r="A4" s="5" t="inlineStr">
        <is>
          <t>파트/팀</t>
        </is>
      </c>
      <c r="B4" s="8" t="inlineStr">
        <is>
          <t>기획파트</t>
        </is>
      </c>
      <c r="C4" s="18" t="n"/>
      <c r="D4" s="18" t="n"/>
      <c r="E4" s="19" t="n"/>
    </row>
    <row r="5">
      <c r="A5" s="5" t="inlineStr">
        <is>
          <t>직급</t>
        </is>
      </c>
      <c r="B5" s="8" t="inlineStr">
        <is>
          <t>선임</t>
        </is>
      </c>
      <c r="C5" s="18" t="n"/>
      <c r="D5" s="18" t="n"/>
      <c r="E5" s="19" t="n"/>
    </row>
    <row r="6">
      <c r="A6" s="5" t="inlineStr">
        <is>
          <t>평가연도</t>
        </is>
      </c>
      <c r="B6" s="8" t="inlineStr">
        <is>
          <t>2026</t>
        </is>
      </c>
      <c r="C6" s="18" t="n"/>
      <c r="D6" s="18" t="n"/>
      <c r="E6" s="19" t="n"/>
    </row>
    <row r="8" ht="20" customHeight="1">
      <c r="A8" s="4" t="inlineStr">
        <is>
          <t>Ⅰ. 성과 (What)</t>
        </is>
      </c>
    </row>
    <row r="9">
      <c r="A9" s="5" t="inlineStr">
        <is>
          <t>중점과제 1순위 - 과제명</t>
        </is>
      </c>
      <c r="B9" s="8" t="inlineStr">
        <is>
          <t>연간 사업계획 수립 프로세스 개선</t>
        </is>
      </c>
      <c r="C9" s="18" t="n"/>
      <c r="D9" s="18" t="n"/>
      <c r="E9" s="19" t="n"/>
    </row>
    <row r="10" ht="30" customHeight="1">
      <c r="A10" s="5" t="inlineStr">
        <is>
          <t>중점과제 1순위 - 목표 및 결과</t>
        </is>
      </c>
      <c r="B10" s="8" t="inlineStr">
        <is>
          <t>수립 기간 3주 단축, 부서간 협업 만족도 향상</t>
        </is>
      </c>
      <c r="C10" s="18" t="n"/>
      <c r="D10" s="18" t="n"/>
      <c r="E10" s="19" t="n"/>
    </row>
    <row r="11">
      <c r="A11" s="5" t="inlineStr">
        <is>
          <t>중점과제 2순위 - 과제명</t>
        </is>
      </c>
      <c r="B11" s="8" t="inlineStr">
        <is>
          <t>신규 투자 타당성 분석</t>
        </is>
      </c>
      <c r="C11" s="18" t="n"/>
      <c r="D11" s="18" t="n"/>
      <c r="E11" s="19" t="n"/>
    </row>
    <row r="12" ht="30" customHeight="1">
      <c r="A12" s="5" t="inlineStr">
        <is>
          <t>중점과제 2순위 - 목표 및 결과</t>
        </is>
      </c>
      <c r="B12" s="8" t="inlineStr">
        <is>
          <t>투자안 2건 승인, 예상 ROI 분석 정확도 개선</t>
        </is>
      </c>
      <c r="C12" s="18" t="n"/>
      <c r="D12" s="18" t="n"/>
      <c r="E12" s="19" t="n"/>
    </row>
    <row r="13">
      <c r="A13" s="5" t="inlineStr">
        <is>
          <t>중점과제 3순위 - 과제명</t>
        </is>
      </c>
      <c r="B13" s="8" t="inlineStr">
        <is>
          <t>경쟁사 벤치마킹 리포트 발간</t>
        </is>
      </c>
      <c r="C13" s="18" t="n"/>
      <c r="D13" s="18" t="n"/>
      <c r="E13" s="19" t="n"/>
    </row>
    <row r="14" ht="30" customHeight="1">
      <c r="A14" s="5" t="inlineStr">
        <is>
          <t>중점과제 3순위 - 목표 및 결과</t>
        </is>
      </c>
      <c r="B14" s="8" t="inlineStr">
        <is>
          <t>분기별 정기 발간 체계 구축</t>
        </is>
      </c>
      <c r="C14" s="18" t="n"/>
      <c r="D14" s="18" t="n"/>
      <c r="E14" s="19" t="n"/>
    </row>
    <row r="15">
      <c r="A15" s="5" t="inlineStr">
        <is>
          <t>추가 과제</t>
        </is>
      </c>
      <c r="B15" s="8" t="inlineStr">
        <is>
          <t>사내 뉴스레터 기획 및 발행</t>
        </is>
      </c>
      <c r="C15" s="18" t="n"/>
      <c r="D15" s="18" t="n"/>
      <c r="E15" s="19" t="n"/>
    </row>
    <row r="16" ht="30" customHeight="1">
      <c r="A16" s="5" t="inlineStr">
        <is>
          <t>가장 아쉬운 성과 (사유 포함)</t>
        </is>
      </c>
      <c r="B16" s="8" t="inlineStr">
        <is>
          <t>일부 사업계획 항목에서 현업 의견 수렴이 충분치 않았음</t>
        </is>
      </c>
      <c r="C16" s="18" t="n"/>
      <c r="D16" s="18" t="n"/>
      <c r="E16" s="19" t="n"/>
    </row>
    <row r="17">
      <c r="A17" s="5" t="inlineStr">
        <is>
          <t>내가 팀 성과에 기여한 정도 (1~10, 정량)</t>
        </is>
      </c>
      <c r="B17" s="8" t="n">
        <v>7</v>
      </c>
      <c r="C17" s="18" t="n"/>
      <c r="D17" s="18" t="n"/>
      <c r="E17" s="19" t="n"/>
    </row>
    <row r="18">
      <c r="A18" s="5" t="inlineStr">
        <is>
          <t>자신의 역할에 비추어 올해 성과도 자가평가 (1~10, 정량)</t>
        </is>
      </c>
      <c r="B18" s="8" t="n">
        <v>6</v>
      </c>
      <c r="C18" s="18" t="n"/>
      <c r="D18" s="18" t="n"/>
      <c r="E18" s="19" t="n"/>
    </row>
    <row r="20" ht="20" customHeight="1">
      <c r="A20" s="4" t="inlineStr">
        <is>
          <t>Ⅱ. 역량 (How) - 전문성 강화를 위한 노력</t>
        </is>
      </c>
    </row>
    <row r="21" ht="30" customHeight="1">
      <c r="A21" s="5" t="inlineStr">
        <is>
          <t>전문성 강화를 위한 노력</t>
        </is>
      </c>
      <c r="B21" s="8" t="inlineStr">
        <is>
          <t>재무/전략 기획 역량 강화를 위한 사내 리더십 과정 이수</t>
        </is>
      </c>
      <c r="C21" s="18" t="n"/>
      <c r="D21" s="18" t="n"/>
      <c r="E21" s="19" t="n"/>
    </row>
    <row r="22">
      <c r="A22" s="5" t="inlineStr">
        <is>
          <t>지식측면: SKHU 수료 학점</t>
        </is>
      </c>
      <c r="B22" s="8" t="n">
        <v>4</v>
      </c>
      <c r="C22" s="18" t="n"/>
      <c r="D22" s="18" t="n"/>
      <c r="E22" s="19" t="n"/>
    </row>
    <row r="23">
      <c r="A23" s="5" t="inlineStr">
        <is>
          <t>지식측면: mySuni 수료 학점</t>
        </is>
      </c>
      <c r="B23" s="8" t="n">
        <v>2</v>
      </c>
      <c r="C23" s="18" t="n"/>
      <c r="D23" s="18" t="n"/>
      <c r="E23" s="19" t="n"/>
    </row>
    <row r="24">
      <c r="A24" s="5" t="inlineStr">
        <is>
          <t>AI 활용 역량 자가점수 (1~10, 정량)</t>
        </is>
      </c>
      <c r="B24" s="8" t="n">
        <v>6</v>
      </c>
      <c r="C24" s="18" t="n"/>
      <c r="D24" s="18" t="n"/>
      <c r="E24" s="19" t="n"/>
    </row>
    <row r="25" ht="30" customHeight="1">
      <c r="A25" s="5" t="inlineStr">
        <is>
          <t>AI 활용 사례</t>
        </is>
      </c>
      <c r="B25" s="8" t="inlineStr">
        <is>
          <t>사업계획 초안 작성에 AI 요약/리서치 도구 활용</t>
        </is>
      </c>
      <c r="C25" s="18" t="n"/>
      <c r="D25" s="18" t="n"/>
      <c r="E25" s="19" t="n"/>
    </row>
    <row r="27" ht="20" customHeight="1">
      <c r="A27" s="4" t="inlineStr">
        <is>
          <t>Ⅲ. 동료평가 (Peer) 추천 - 본인파트 1명 + 타파트 1명</t>
        </is>
      </c>
    </row>
    <row r="28">
      <c r="A28" s="5" t="inlineStr">
        <is>
          <t>본인 파트 추천 동료 - 이름</t>
        </is>
      </c>
      <c r="B28" s="8" t="inlineStr">
        <is>
          <t>박민수</t>
        </is>
      </c>
      <c r="C28" s="18" t="n"/>
      <c r="D28" s="18" t="n"/>
      <c r="E28" s="19" t="n"/>
    </row>
    <row r="29" ht="30" customHeight="1">
      <c r="A29" s="5" t="inlineStr">
        <is>
          <t>본인 파트 추천 동료 - 추천 사유</t>
        </is>
      </c>
      <c r="B29" s="8" t="inlineStr">
        <is>
          <t>사업계획 수립 과정에서 꼼꼼한 데이터 검증으로 리스크를 사전에 줄여줌</t>
        </is>
      </c>
      <c r="C29" s="18" t="n"/>
      <c r="D29" s="18" t="n"/>
      <c r="E29" s="19" t="n"/>
    </row>
    <row r="30">
      <c r="A30" s="5" t="inlineStr">
        <is>
          <t>타 파트 추천 동료 - 이름</t>
        </is>
      </c>
      <c r="B30" s="8" t="inlineStr">
        <is>
          <t>홍길동</t>
        </is>
      </c>
      <c r="C30" s="18" t="n"/>
      <c r="D30" s="18" t="n"/>
      <c r="E30" s="19" t="n"/>
    </row>
    <row r="31" ht="30" customHeight="1">
      <c r="A31" s="5" t="inlineStr">
        <is>
          <t>타 파트 추천 동료 - 추천 사유</t>
        </is>
      </c>
      <c r="B31" s="8" t="inlineStr">
        <is>
          <t>현업 데이터 요청에 적극적으로 협조하여 기획 품질을 높여줌</t>
        </is>
      </c>
      <c r="C31" s="18" t="n"/>
      <c r="D31" s="18" t="n"/>
      <c r="E31" s="19" t="n"/>
    </row>
  </sheetData>
  <mergeCells count="27">
    <mergeCell ref="B9:E9"/>
    <mergeCell ref="B6:E6"/>
    <mergeCell ref="B30:E30"/>
    <mergeCell ref="B15:E15"/>
    <mergeCell ref="A1:E1"/>
    <mergeCell ref="B24:E24"/>
    <mergeCell ref="B5:E5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5" t="inlineStr">
        <is>
          <t>이름</t>
        </is>
      </c>
      <c r="B3" s="8" t="inlineStr">
        <is>
          <t>박민수</t>
        </is>
      </c>
      <c r="C3" s="18" t="n"/>
      <c r="D3" s="18" t="n"/>
      <c r="E3" s="19" t="n"/>
    </row>
    <row r="4">
      <c r="A4" s="5" t="inlineStr">
        <is>
          <t>파트/팀</t>
        </is>
      </c>
      <c r="B4" s="8" t="inlineStr">
        <is>
          <t>기획파트</t>
        </is>
      </c>
      <c r="C4" s="18" t="n"/>
      <c r="D4" s="18" t="n"/>
      <c r="E4" s="19" t="n"/>
    </row>
    <row r="5">
      <c r="A5" s="5" t="inlineStr">
        <is>
          <t>직급</t>
        </is>
      </c>
      <c r="B5" s="8" t="inlineStr">
        <is>
          <t>책임</t>
        </is>
      </c>
      <c r="C5" s="18" t="n"/>
      <c r="D5" s="18" t="n"/>
      <c r="E5" s="19" t="n"/>
    </row>
    <row r="6">
      <c r="A6" s="5" t="inlineStr">
        <is>
          <t>평가연도</t>
        </is>
      </c>
      <c r="B6" s="8" t="inlineStr">
        <is>
          <t>2026</t>
        </is>
      </c>
      <c r="C6" s="18" t="n"/>
      <c r="D6" s="18" t="n"/>
      <c r="E6" s="19" t="n"/>
    </row>
    <row r="8" ht="20" customHeight="1">
      <c r="A8" s="4" t="inlineStr">
        <is>
          <t>Ⅰ. 성과 (What)</t>
        </is>
      </c>
    </row>
    <row r="9">
      <c r="A9" s="5" t="inlineStr">
        <is>
          <t>중점과제 1순위 - 과제명</t>
        </is>
      </c>
      <c r="B9" s="8" t="inlineStr">
        <is>
          <t>중장기 R&amp;D 로드맵 수립</t>
        </is>
      </c>
      <c r="C9" s="18" t="n"/>
      <c r="D9" s="18" t="n"/>
      <c r="E9" s="19" t="n"/>
    </row>
    <row r="10" ht="30" customHeight="1">
      <c r="A10" s="5" t="inlineStr">
        <is>
          <t>중점과제 1순위 - 목표 및 결과</t>
        </is>
      </c>
      <c r="B10" s="8" t="inlineStr">
        <is>
          <t>로드맵 확정 및 경영진 승인 완료</t>
        </is>
      </c>
      <c r="C10" s="18" t="n"/>
      <c r="D10" s="18" t="n"/>
      <c r="E10" s="19" t="n"/>
    </row>
    <row r="11">
      <c r="A11" s="5" t="inlineStr">
        <is>
          <t>중점과제 2순위 - 과제명</t>
        </is>
      </c>
      <c r="B11" s="8" t="inlineStr">
        <is>
          <t>정부 R&amp;D 과제 기획 및 신청</t>
        </is>
      </c>
      <c r="C11" s="18" t="n"/>
      <c r="D11" s="18" t="n"/>
      <c r="E11" s="19" t="n"/>
    </row>
    <row r="12" ht="30" customHeight="1">
      <c r="A12" s="5" t="inlineStr">
        <is>
          <t>중점과제 2순위 - 목표 및 결과</t>
        </is>
      </c>
      <c r="B12" s="8" t="inlineStr">
        <is>
          <t>과제 1건 선정, 예산 확보</t>
        </is>
      </c>
      <c r="C12" s="18" t="n"/>
      <c r="D12" s="18" t="n"/>
      <c r="E12" s="19" t="n"/>
    </row>
    <row r="13">
      <c r="A13" s="5" t="inlineStr">
        <is>
          <t>중점과제 3순위 - 과제명</t>
        </is>
      </c>
      <c r="B13" s="8" t="inlineStr">
        <is>
          <t>부서간 협업 R&amp;D 과제 조율</t>
        </is>
      </c>
      <c r="C13" s="18" t="n"/>
      <c r="D13" s="18" t="n"/>
      <c r="E13" s="19" t="n"/>
    </row>
    <row r="14" ht="30" customHeight="1">
      <c r="A14" s="5" t="inlineStr">
        <is>
          <t>중점과제 3순위 - 목표 및 결과</t>
        </is>
      </c>
      <c r="B14" s="8" t="inlineStr">
        <is>
          <t>이해관계 조정으로 과제 착수 지연 최소화</t>
        </is>
      </c>
      <c r="C14" s="18" t="n"/>
      <c r="D14" s="18" t="n"/>
      <c r="E14" s="19" t="n"/>
    </row>
    <row r="15">
      <c r="A15" s="5" t="inlineStr">
        <is>
          <t>추가 과제</t>
        </is>
      </c>
      <c r="B15" s="8" t="inlineStr">
        <is>
          <t>R&amp;D 성과관리 체계 개선 제안</t>
        </is>
      </c>
      <c r="C15" s="18" t="n"/>
      <c r="D15" s="18" t="n"/>
      <c r="E15" s="19" t="n"/>
    </row>
    <row r="16" ht="30" customHeight="1">
      <c r="A16" s="5" t="inlineStr">
        <is>
          <t>가장 아쉬운 성과 (사유 포함)</t>
        </is>
      </c>
      <c r="B16" s="8" t="inlineStr">
        <is>
          <t>정부 과제 신청 서류 준비 일정이 촉박하여 품질을 더 높이지 못함</t>
        </is>
      </c>
      <c r="C16" s="18" t="n"/>
      <c r="D16" s="18" t="n"/>
      <c r="E16" s="19" t="n"/>
    </row>
    <row r="17">
      <c r="A17" s="5" t="inlineStr">
        <is>
          <t>내가 팀 성과에 기여한 정도 (1~10, 정량)</t>
        </is>
      </c>
      <c r="B17" s="8" t="n">
        <v>6</v>
      </c>
      <c r="C17" s="18" t="n"/>
      <c r="D17" s="18" t="n"/>
      <c r="E17" s="19" t="n"/>
    </row>
    <row r="18">
      <c r="A18" s="5" t="inlineStr">
        <is>
          <t>자신의 역할에 비추어 올해 성과도 자가평가 (1~10, 정량)</t>
        </is>
      </c>
      <c r="B18" s="8" t="n">
        <v>7</v>
      </c>
      <c r="C18" s="18" t="n"/>
      <c r="D18" s="18" t="n"/>
      <c r="E18" s="19" t="n"/>
    </row>
    <row r="20" ht="20" customHeight="1">
      <c r="A20" s="4" t="inlineStr">
        <is>
          <t>Ⅱ. 역량 (How) - 전문성 강화를 위한 노력</t>
        </is>
      </c>
    </row>
    <row r="21" ht="30" customHeight="1">
      <c r="A21" s="5" t="inlineStr">
        <is>
          <t>전문성 강화를 위한 노력</t>
        </is>
      </c>
      <c r="B21" s="8" t="inlineStr">
        <is>
          <t>R&amp;D 기획 전문성 강화를 위한 특허/기술동향 분석 교육 이수</t>
        </is>
      </c>
      <c r="C21" s="18" t="n"/>
      <c r="D21" s="18" t="n"/>
      <c r="E21" s="19" t="n"/>
    </row>
    <row r="22">
      <c r="A22" s="5" t="inlineStr">
        <is>
          <t>지식측면: SKHU 수료 학점</t>
        </is>
      </c>
      <c r="B22" s="8" t="n">
        <v>5</v>
      </c>
      <c r="C22" s="18" t="n"/>
      <c r="D22" s="18" t="n"/>
      <c r="E22" s="19" t="n"/>
    </row>
    <row r="23">
      <c r="A23" s="5" t="inlineStr">
        <is>
          <t>지식측면: mySuni 수료 학점</t>
        </is>
      </c>
      <c r="B23" s="8" t="n">
        <v>5</v>
      </c>
      <c r="C23" s="18" t="n"/>
      <c r="D23" s="18" t="n"/>
      <c r="E23" s="19" t="n"/>
    </row>
    <row r="24">
      <c r="A24" s="5" t="inlineStr">
        <is>
          <t>AI 활용 역량 자가점수 (1~10, 정량)</t>
        </is>
      </c>
      <c r="B24" s="8" t="n">
        <v>9</v>
      </c>
      <c r="C24" s="18" t="n"/>
      <c r="D24" s="18" t="n"/>
      <c r="E24" s="19" t="n"/>
    </row>
    <row r="25" ht="30" customHeight="1">
      <c r="A25" s="5" t="inlineStr">
        <is>
          <t>AI 활용 사례</t>
        </is>
      </c>
      <c r="B25" s="8" t="inlineStr">
        <is>
          <t>R&amp;D 동향 분석에 AI 리서치 도구를 적극 활용, 보고서 작성 시간 단축</t>
        </is>
      </c>
      <c r="C25" s="18" t="n"/>
      <c r="D25" s="18" t="n"/>
      <c r="E25" s="19" t="n"/>
    </row>
    <row r="27" ht="20" customHeight="1">
      <c r="A27" s="4" t="inlineStr">
        <is>
          <t>Ⅲ. 동료평가 (Peer) 추천 - 본인파트 1명 + 타파트 1명</t>
        </is>
      </c>
    </row>
    <row r="28">
      <c r="A28" s="5" t="inlineStr">
        <is>
          <t>본인 파트 추천 동료 - 이름</t>
        </is>
      </c>
      <c r="B28" s="8" t="inlineStr">
        <is>
          <t>이철수</t>
        </is>
      </c>
      <c r="C28" s="18" t="n"/>
      <c r="D28" s="18" t="n"/>
      <c r="E28" s="19" t="n"/>
    </row>
    <row r="29" ht="30" customHeight="1">
      <c r="A29" s="5" t="inlineStr">
        <is>
          <t>본인 파트 추천 동료 - 추천 사유</t>
        </is>
      </c>
      <c r="B29" s="8" t="inlineStr">
        <is>
          <t>복잡한 이해관계 조정 상황에서 침착하고 논리적으로 문제를 해결함</t>
        </is>
      </c>
      <c r="C29" s="18" t="n"/>
      <c r="D29" s="18" t="n"/>
      <c r="E29" s="19" t="n"/>
    </row>
    <row r="30">
      <c r="A30" s="5" t="inlineStr">
        <is>
          <t>타 파트 추천 동료 - 이름</t>
        </is>
      </c>
      <c r="B30" s="8" t="inlineStr">
        <is>
          <t>홍길동</t>
        </is>
      </c>
      <c r="C30" s="18" t="n"/>
      <c r="D30" s="18" t="n"/>
      <c r="E30" s="19" t="n"/>
    </row>
    <row r="31" ht="30" customHeight="1">
      <c r="A31" s="5" t="inlineStr">
        <is>
          <t>타 파트 추천 동료 - 추천 사유</t>
        </is>
      </c>
      <c r="B31" s="8" t="inlineStr">
        <is>
          <t>현업 관점에서 R&amp;D 우선순위에 대한 현실적인 피드백을 제공함</t>
        </is>
      </c>
      <c r="C31" s="18" t="n"/>
      <c r="D31" s="18" t="n"/>
      <c r="E31" s="19" t="n"/>
    </row>
  </sheetData>
  <mergeCells count="27">
    <mergeCell ref="B9:E9"/>
    <mergeCell ref="B6:E6"/>
    <mergeCell ref="B30:E30"/>
    <mergeCell ref="B15:E15"/>
    <mergeCell ref="A1:E1"/>
    <mergeCell ref="B24:E24"/>
    <mergeCell ref="B5:E5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34" customWidth="1" min="4" max="4"/>
    <col width="16" customWidth="1" min="5" max="5"/>
    <col width="34" customWidth="1" min="6" max="6"/>
  </cols>
  <sheetData>
    <row r="1" ht="22" customHeight="1">
      <c r="A1" s="1" t="inlineStr">
        <is>
          <t>동료평가(Peer) 추천 자동 집계</t>
        </is>
      </c>
    </row>
    <row r="3">
      <c r="A3" s="10" t="inlineStr">
        <is>
          <t>추천자</t>
        </is>
      </c>
      <c r="B3" s="10" t="inlineStr">
        <is>
          <t>파트</t>
        </is>
      </c>
      <c r="C3" s="10" t="inlineStr">
        <is>
          <t>본인파트 추천대상</t>
        </is>
      </c>
      <c r="D3" s="10" t="inlineStr">
        <is>
          <t>본인파트 추천사유</t>
        </is>
      </c>
      <c r="E3" s="10" t="inlineStr">
        <is>
          <t>타파트 추천대상</t>
        </is>
      </c>
      <c r="F3" s="10" t="inlineStr">
        <is>
          <t>타파트 추천사유</t>
        </is>
      </c>
    </row>
    <row r="4">
      <c r="A4" s="11" t="inlineStr">
        <is>
          <t>홍길동</t>
        </is>
      </c>
      <c r="B4" s="11">
        <f>INDIRECT("'자가점검표_"&amp;A4&amp;"'!B4")</f>
        <v/>
      </c>
      <c r="C4" s="11">
        <f>INDIRECT("'자가점검표_"&amp;A4&amp;"'!B28")</f>
        <v/>
      </c>
      <c r="D4" s="11">
        <f>INDIRECT("'자가점검표_"&amp;A4&amp;"'!B29")</f>
        <v/>
      </c>
      <c r="E4" s="11">
        <f>INDIRECT("'자가점검표_"&amp;A4&amp;"'!B30")</f>
        <v/>
      </c>
      <c r="F4" s="11">
        <f>INDIRECT("'자가점검표_"&amp;A4&amp;"'!B31")</f>
        <v/>
      </c>
    </row>
    <row r="5">
      <c r="A5" s="11" t="inlineStr">
        <is>
          <t>김영희</t>
        </is>
      </c>
      <c r="B5" s="11">
        <f>INDIRECT("'자가점검표_"&amp;A5&amp;"'!B4")</f>
        <v/>
      </c>
      <c r="C5" s="11">
        <f>INDIRECT("'자가점검표_"&amp;A5&amp;"'!B28")</f>
        <v/>
      </c>
      <c r="D5" s="11">
        <f>INDIRECT("'자가점검표_"&amp;A5&amp;"'!B29")</f>
        <v/>
      </c>
      <c r="E5" s="11">
        <f>INDIRECT("'자가점검표_"&amp;A5&amp;"'!B30")</f>
        <v/>
      </c>
      <c r="F5" s="11">
        <f>INDIRECT("'자가점검표_"&amp;A5&amp;"'!B31")</f>
        <v/>
      </c>
    </row>
    <row r="6">
      <c r="A6" s="11" t="inlineStr">
        <is>
          <t>이철수</t>
        </is>
      </c>
      <c r="B6" s="11">
        <f>INDIRECT("'자가점검표_"&amp;A6&amp;"'!B4")</f>
        <v/>
      </c>
      <c r="C6" s="11">
        <f>INDIRECT("'자가점검표_"&amp;A6&amp;"'!B28")</f>
        <v/>
      </c>
      <c r="D6" s="11">
        <f>INDIRECT("'자가점검표_"&amp;A6&amp;"'!B29")</f>
        <v/>
      </c>
      <c r="E6" s="11">
        <f>INDIRECT("'자가점검표_"&amp;A6&amp;"'!B30")</f>
        <v/>
      </c>
      <c r="F6" s="11">
        <f>INDIRECT("'자가점검표_"&amp;A6&amp;"'!B31")</f>
        <v/>
      </c>
    </row>
    <row r="7">
      <c r="A7" s="11" t="inlineStr">
        <is>
          <t>박민수</t>
        </is>
      </c>
      <c r="B7" s="11">
        <f>INDIRECT("'자가점검표_"&amp;A7&amp;"'!B4")</f>
        <v/>
      </c>
      <c r="C7" s="11">
        <f>INDIRECT("'자가점검표_"&amp;A7&amp;"'!B28")</f>
        <v/>
      </c>
      <c r="D7" s="11">
        <f>INDIRECT("'자가점검표_"&amp;A7&amp;"'!B29")</f>
        <v/>
      </c>
      <c r="E7" s="11">
        <f>INDIRECT("'자가점검표_"&amp;A7&amp;"'!B30")</f>
        <v/>
      </c>
      <c r="F7" s="11">
        <f>INDIRECT("'자가점검표_"&amp;A7&amp;"'!B31")</f>
        <v/>
      </c>
    </row>
    <row r="9">
      <c r="A9" s="12" t="inlineStr">
        <is>
          <t>대상자별 추천받은 횟수</t>
        </is>
      </c>
    </row>
    <row r="10">
      <c r="A10" s="13" t="inlineStr">
        <is>
          <t>이름</t>
        </is>
      </c>
      <c r="B10" s="13" t="inlineStr">
        <is>
          <t>추천받은 횟수</t>
        </is>
      </c>
    </row>
    <row r="11">
      <c r="A11" s="14" t="inlineStr">
        <is>
          <t>홍길동</t>
        </is>
      </c>
      <c r="B11" s="14">
        <f>COUNTIF($C$4:$C$7,A11)+COUNTIF($E$4:$E$7,A11)</f>
        <v/>
      </c>
    </row>
    <row r="12">
      <c r="A12" s="14" t="inlineStr">
        <is>
          <t>김영희</t>
        </is>
      </c>
      <c r="B12" s="14">
        <f>COUNTIF($C$4:$C$7,A12)+COUNTIF($E$4:$E$7,A12)</f>
        <v/>
      </c>
    </row>
    <row r="13">
      <c r="A13" s="14" t="inlineStr">
        <is>
          <t>이철수</t>
        </is>
      </c>
      <c r="B13" s="14">
        <f>COUNTIF($C$4:$C$7,A13)+COUNTIF($E$4:$E$7,A13)</f>
        <v/>
      </c>
    </row>
    <row r="14">
      <c r="A14" s="14" t="inlineStr">
        <is>
          <t>박민수</t>
        </is>
      </c>
      <c r="B14" s="14">
        <f>COUNTIF($C$4:$C$7,A14)+COUNTIF($E$4:$E$7,A14)</f>
        <v/>
      </c>
    </row>
  </sheetData>
  <mergeCells count="2">
    <mergeCell ref="A9:B9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40" customWidth="1" min="4" max="4"/>
    <col width="14" customWidth="1" min="5" max="5"/>
    <col width="40" customWidth="1" min="6" max="6"/>
  </cols>
  <sheetData>
    <row r="1" ht="22" customHeight="1">
      <c r="A1" s="1" t="inlineStr">
        <is>
          <t>팀장(2차 평가자) 정성항목 평가</t>
        </is>
      </c>
    </row>
    <row r="3">
      <c r="A3" s="10" t="inlineStr">
        <is>
          <t>이름</t>
        </is>
      </c>
      <c r="B3" s="10" t="inlineStr">
        <is>
          <t>파트</t>
        </is>
      </c>
      <c r="C3" s="10" t="inlineStr">
        <is>
          <t>성과 정성점수(1~5)</t>
        </is>
      </c>
      <c r="D3" s="10" t="inlineStr">
        <is>
          <t>성과 정성평가 코멘트</t>
        </is>
      </c>
      <c r="E3" s="10" t="inlineStr">
        <is>
          <t>역량 정성점수(1~5)</t>
        </is>
      </c>
      <c r="F3" s="10" t="inlineStr">
        <is>
          <t>역량 정성평가 코멘트</t>
        </is>
      </c>
    </row>
    <row r="4">
      <c r="A4" s="11" t="inlineStr">
        <is>
          <t>홍길동</t>
        </is>
      </c>
      <c r="B4" s="11">
        <f>INDIRECT("'자가점검표_"&amp;A4&amp;"'!B4")</f>
        <v/>
      </c>
      <c r="C4" s="8" t="n">
        <v>4</v>
      </c>
      <c r="D4" s="8" t="inlineStr">
        <is>
          <t>핵심 과제 목표를 초과 달성했으나 재발방지 대응 속도 개선 필요</t>
        </is>
      </c>
      <c r="E4" s="8" t="n">
        <v>4</v>
      </c>
      <c r="F4" s="8" t="inlineStr">
        <is>
          <t>데이터 분석 역량을 실무에 잘 적용함</t>
        </is>
      </c>
    </row>
    <row r="5">
      <c r="A5" s="11" t="inlineStr">
        <is>
          <t>김영희</t>
        </is>
      </c>
      <c r="B5" s="11">
        <f>INDIRECT("'자가점검표_"&amp;A5&amp;"'!B4")</f>
        <v/>
      </c>
      <c r="C5" s="8" t="n">
        <v>5</v>
      </c>
      <c r="D5" s="8" t="inlineStr">
        <is>
          <t>품질 체계 개선 성과가 우수하고 파급효과가 큼</t>
        </is>
      </c>
      <c r="E5" s="8" t="n">
        <v>4</v>
      </c>
      <c r="F5" s="8" t="inlineStr">
        <is>
          <t>분석 전문성이 꾸준히 향상되고 있음</t>
        </is>
      </c>
    </row>
    <row r="6">
      <c r="A6" s="11" t="inlineStr">
        <is>
          <t>이철수</t>
        </is>
      </c>
      <c r="B6" s="11">
        <f>INDIRECT("'자가점검표_"&amp;A6&amp;"'!B4")</f>
        <v/>
      </c>
      <c r="C6" s="8" t="n">
        <v>3</v>
      </c>
      <c r="D6" s="8" t="inlineStr">
        <is>
          <t>계획대로 수행했으나 현업 의견수렴 등 보완 필요</t>
        </is>
      </c>
      <c r="E6" s="8" t="n">
        <v>3</v>
      </c>
      <c r="F6" s="8" t="inlineStr">
        <is>
          <t>역량 개발 노력은 있으나 성과 연계가 다소 약함</t>
        </is>
      </c>
    </row>
    <row r="7">
      <c r="A7" s="11" t="inlineStr">
        <is>
          <t>박민수</t>
        </is>
      </c>
      <c r="B7" s="11">
        <f>INDIRECT("'자가점검표_"&amp;A7&amp;"'!B4")</f>
        <v/>
      </c>
      <c r="C7" s="8" t="n">
        <v>4</v>
      </c>
      <c r="D7" s="8" t="inlineStr">
        <is>
          <t>R&amp;D 로드맵 등 전략적 과제에서 성과를 보임</t>
        </is>
      </c>
      <c r="E7" s="8" t="n">
        <v>5</v>
      </c>
      <c r="F7" s="8" t="inlineStr">
        <is>
          <t>AI 도구 활용 등 실무 적용력이 매우 우수함</t>
        </is>
      </c>
    </row>
  </sheetData>
  <mergeCells count="1">
    <mergeCell ref="A1:F1"/>
  </mergeCells>
  <dataValidations count="1">
    <dataValidation sqref="C4 C5 C6 C7 E4 E5 E6 E7" showDropDown="0" showInputMessage="0" showErrorMessage="0" allowBlank="1" errorTitle="입력 오류" error="1~5 사이의 정수를 입력하세요." type="whole" operator="between">
      <formula1>1</formula1>
      <formula2>5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22" customWidth="1" min="5" max="5"/>
    <col width="22" customWidth="1" min="6" max="6"/>
    <col width="22" customWidth="1" min="7" max="7"/>
    <col width="20" customWidth="1" min="8" max="8"/>
    <col width="22" customWidth="1" min="9" max="9"/>
    <col width="10" customWidth="1" min="10" max="10"/>
    <col width="12" customWidth="1" min="11" max="11"/>
    <col width="22" customWidth="1" min="12" max="12"/>
    <col width="8" customWidth="1" min="13" max="13"/>
    <col width="8" customWidth="1" min="14" max="14"/>
    <col width="10" customWidth="1" min="15" max="15"/>
    <col width="22" customWidth="1" min="16" max="16"/>
  </cols>
  <sheetData>
    <row r="1" ht="22" customHeight="1">
      <c r="A1" s="1" t="inlineStr">
        <is>
          <t>자가점검표 통합 데이터 (전 구성원 시트 자동 병합)</t>
        </is>
      </c>
    </row>
    <row r="3">
      <c r="A3" s="10" t="inlineStr">
        <is>
          <t>이름</t>
        </is>
      </c>
      <c r="B3" s="10" t="inlineStr">
        <is>
          <t>파트</t>
        </is>
      </c>
      <c r="C3" s="10" t="inlineStr">
        <is>
          <t>직급</t>
        </is>
      </c>
      <c r="D3" s="10" t="inlineStr">
        <is>
          <t>평가연도</t>
        </is>
      </c>
      <c r="E3" s="10" t="inlineStr">
        <is>
          <t>중점과제1</t>
        </is>
      </c>
      <c r="F3" s="10" t="inlineStr">
        <is>
          <t>중점과제2</t>
        </is>
      </c>
      <c r="G3" s="10" t="inlineStr">
        <is>
          <t>중점과제3</t>
        </is>
      </c>
      <c r="H3" s="10" t="inlineStr">
        <is>
          <t>추가과제</t>
        </is>
      </c>
      <c r="I3" s="10" t="inlineStr">
        <is>
          <t>가장아쉬운성과</t>
        </is>
      </c>
      <c r="J3" s="10" t="inlineStr">
        <is>
          <t>기여도(1~10)</t>
        </is>
      </c>
      <c r="K3" s="10" t="inlineStr">
        <is>
          <t>성과도자가평가(1~10)</t>
        </is>
      </c>
      <c r="L3" s="10" t="inlineStr">
        <is>
          <t>전문성강화노력</t>
        </is>
      </c>
      <c r="M3" s="10" t="inlineStr">
        <is>
          <t>SKHU학점</t>
        </is>
      </c>
      <c r="N3" s="10" t="inlineStr">
        <is>
          <t>mySuni학점</t>
        </is>
      </c>
      <c r="O3" s="10" t="inlineStr">
        <is>
          <t>AI자가점수(1~10)</t>
        </is>
      </c>
      <c r="P3" s="10" t="inlineStr">
        <is>
          <t>AI활용사례</t>
        </is>
      </c>
    </row>
    <row r="4">
      <c r="A4" s="11" t="inlineStr">
        <is>
          <t>홍길동</t>
        </is>
      </c>
      <c r="B4" s="11">
        <f>INDIRECT("'자가점검표_"&amp;$A4&amp;"'!B4")</f>
        <v/>
      </c>
      <c r="C4" s="11">
        <f>INDIRECT("'자가점검표_"&amp;$A4&amp;"'!B5")</f>
        <v/>
      </c>
      <c r="D4" s="11">
        <f>INDIRECT("'자가점검표_"&amp;$A4&amp;"'!B6")</f>
        <v/>
      </c>
      <c r="E4" s="11">
        <f>INDIRECT("'자가점검표_"&amp;$A4&amp;"'!B9")</f>
        <v/>
      </c>
      <c r="F4" s="11">
        <f>INDIRECT("'자가점검표_"&amp;$A4&amp;"'!B11")</f>
        <v/>
      </c>
      <c r="G4" s="11">
        <f>INDIRECT("'자가점검표_"&amp;$A4&amp;"'!B13")</f>
        <v/>
      </c>
      <c r="H4" s="11">
        <f>INDIRECT("'자가점검표_"&amp;$A4&amp;"'!B15")</f>
        <v/>
      </c>
      <c r="I4" s="11">
        <f>INDIRECT("'자가점검표_"&amp;$A4&amp;"'!B16")</f>
        <v/>
      </c>
      <c r="J4" s="11">
        <f>INDIRECT("'자가점검표_"&amp;$A4&amp;"'!B17")</f>
        <v/>
      </c>
      <c r="K4" s="11">
        <f>INDIRECT("'자가점검표_"&amp;$A4&amp;"'!B18")</f>
        <v/>
      </c>
      <c r="L4" s="11">
        <f>INDIRECT("'자가점검표_"&amp;$A4&amp;"'!B21")</f>
        <v/>
      </c>
      <c r="M4" s="11">
        <f>INDIRECT("'자가점검표_"&amp;$A4&amp;"'!B22")</f>
        <v/>
      </c>
      <c r="N4" s="11">
        <f>INDIRECT("'자가점검표_"&amp;$A4&amp;"'!B23")</f>
        <v/>
      </c>
      <c r="O4" s="11">
        <f>INDIRECT("'자가점검표_"&amp;$A4&amp;"'!B24")</f>
        <v/>
      </c>
      <c r="P4" s="11">
        <f>INDIRECT("'자가점검표_"&amp;$A4&amp;"'!B25")</f>
        <v/>
      </c>
    </row>
    <row r="5">
      <c r="A5" s="11" t="inlineStr">
        <is>
          <t>김영희</t>
        </is>
      </c>
      <c r="B5" s="11">
        <f>INDIRECT("'자가점검표_"&amp;$A5&amp;"'!B4")</f>
        <v/>
      </c>
      <c r="C5" s="11">
        <f>INDIRECT("'자가점검표_"&amp;$A5&amp;"'!B5")</f>
        <v/>
      </c>
      <c r="D5" s="11">
        <f>INDIRECT("'자가점검표_"&amp;$A5&amp;"'!B6")</f>
        <v/>
      </c>
      <c r="E5" s="11">
        <f>INDIRECT("'자가점검표_"&amp;$A5&amp;"'!B9")</f>
        <v/>
      </c>
      <c r="F5" s="11">
        <f>INDIRECT("'자가점검표_"&amp;$A5&amp;"'!B11")</f>
        <v/>
      </c>
      <c r="G5" s="11">
        <f>INDIRECT("'자가점검표_"&amp;$A5&amp;"'!B13")</f>
        <v/>
      </c>
      <c r="H5" s="11">
        <f>INDIRECT("'자가점검표_"&amp;$A5&amp;"'!B15")</f>
        <v/>
      </c>
      <c r="I5" s="11">
        <f>INDIRECT("'자가점검표_"&amp;$A5&amp;"'!B16")</f>
        <v/>
      </c>
      <c r="J5" s="11">
        <f>INDIRECT("'자가점검표_"&amp;$A5&amp;"'!B17")</f>
        <v/>
      </c>
      <c r="K5" s="11">
        <f>INDIRECT("'자가점검표_"&amp;$A5&amp;"'!B18")</f>
        <v/>
      </c>
      <c r="L5" s="11">
        <f>INDIRECT("'자가점검표_"&amp;$A5&amp;"'!B21")</f>
        <v/>
      </c>
      <c r="M5" s="11">
        <f>INDIRECT("'자가점검표_"&amp;$A5&amp;"'!B22")</f>
        <v/>
      </c>
      <c r="N5" s="11">
        <f>INDIRECT("'자가점검표_"&amp;$A5&amp;"'!B23")</f>
        <v/>
      </c>
      <c r="O5" s="11">
        <f>INDIRECT("'자가점검표_"&amp;$A5&amp;"'!B24")</f>
        <v/>
      </c>
      <c r="P5" s="11">
        <f>INDIRECT("'자가점검표_"&amp;$A5&amp;"'!B25")</f>
        <v/>
      </c>
    </row>
    <row r="6">
      <c r="A6" s="11" t="inlineStr">
        <is>
          <t>이철수</t>
        </is>
      </c>
      <c r="B6" s="11">
        <f>INDIRECT("'자가점검표_"&amp;$A6&amp;"'!B4")</f>
        <v/>
      </c>
      <c r="C6" s="11">
        <f>INDIRECT("'자가점검표_"&amp;$A6&amp;"'!B5")</f>
        <v/>
      </c>
      <c r="D6" s="11">
        <f>INDIRECT("'자가점검표_"&amp;$A6&amp;"'!B6")</f>
        <v/>
      </c>
      <c r="E6" s="11">
        <f>INDIRECT("'자가점검표_"&amp;$A6&amp;"'!B9")</f>
        <v/>
      </c>
      <c r="F6" s="11">
        <f>INDIRECT("'자가점검표_"&amp;$A6&amp;"'!B11")</f>
        <v/>
      </c>
      <c r="G6" s="11">
        <f>INDIRECT("'자가점검표_"&amp;$A6&amp;"'!B13")</f>
        <v/>
      </c>
      <c r="H6" s="11">
        <f>INDIRECT("'자가점검표_"&amp;$A6&amp;"'!B15")</f>
        <v/>
      </c>
      <c r="I6" s="11">
        <f>INDIRECT("'자가점검표_"&amp;$A6&amp;"'!B16")</f>
        <v/>
      </c>
      <c r="J6" s="11">
        <f>INDIRECT("'자가점검표_"&amp;$A6&amp;"'!B17")</f>
        <v/>
      </c>
      <c r="K6" s="11">
        <f>INDIRECT("'자가점검표_"&amp;$A6&amp;"'!B18")</f>
        <v/>
      </c>
      <c r="L6" s="11">
        <f>INDIRECT("'자가점검표_"&amp;$A6&amp;"'!B21")</f>
        <v/>
      </c>
      <c r="M6" s="11">
        <f>INDIRECT("'자가점검표_"&amp;$A6&amp;"'!B22")</f>
        <v/>
      </c>
      <c r="N6" s="11">
        <f>INDIRECT("'자가점검표_"&amp;$A6&amp;"'!B23")</f>
        <v/>
      </c>
      <c r="O6" s="11">
        <f>INDIRECT("'자가점검표_"&amp;$A6&amp;"'!B24")</f>
        <v/>
      </c>
      <c r="P6" s="11">
        <f>INDIRECT("'자가점검표_"&amp;$A6&amp;"'!B25")</f>
        <v/>
      </c>
    </row>
    <row r="7">
      <c r="A7" s="11" t="inlineStr">
        <is>
          <t>박민수</t>
        </is>
      </c>
      <c r="B7" s="11">
        <f>INDIRECT("'자가점검표_"&amp;$A7&amp;"'!B4")</f>
        <v/>
      </c>
      <c r="C7" s="11">
        <f>INDIRECT("'자가점검표_"&amp;$A7&amp;"'!B5")</f>
        <v/>
      </c>
      <c r="D7" s="11">
        <f>INDIRECT("'자가점검표_"&amp;$A7&amp;"'!B6")</f>
        <v/>
      </c>
      <c r="E7" s="11">
        <f>INDIRECT("'자가점검표_"&amp;$A7&amp;"'!B9")</f>
        <v/>
      </c>
      <c r="F7" s="11">
        <f>INDIRECT("'자가점검표_"&amp;$A7&amp;"'!B11")</f>
        <v/>
      </c>
      <c r="G7" s="11">
        <f>INDIRECT("'자가점검표_"&amp;$A7&amp;"'!B13")</f>
        <v/>
      </c>
      <c r="H7" s="11">
        <f>INDIRECT("'자가점검표_"&amp;$A7&amp;"'!B15")</f>
        <v/>
      </c>
      <c r="I7" s="11">
        <f>INDIRECT("'자가점검표_"&amp;$A7&amp;"'!B16")</f>
        <v/>
      </c>
      <c r="J7" s="11">
        <f>INDIRECT("'자가점검표_"&amp;$A7&amp;"'!B17")</f>
        <v/>
      </c>
      <c r="K7" s="11">
        <f>INDIRECT("'자가점검표_"&amp;$A7&amp;"'!B18")</f>
        <v/>
      </c>
      <c r="L7" s="11">
        <f>INDIRECT("'자가점검표_"&amp;$A7&amp;"'!B21")</f>
        <v/>
      </c>
      <c r="M7" s="11">
        <f>INDIRECT("'자가점검표_"&amp;$A7&amp;"'!B22")</f>
        <v/>
      </c>
      <c r="N7" s="11">
        <f>INDIRECT("'자가점검표_"&amp;$A7&amp;"'!B23")</f>
        <v/>
      </c>
      <c r="O7" s="11">
        <f>INDIRECT("'자가점검표_"&amp;$A7&amp;"'!B24")</f>
        <v/>
      </c>
      <c r="P7" s="11">
        <f>INDIRECT("'자가점검표_"&amp;$A7&amp;"'!B25")</f>
        <v/>
      </c>
    </row>
  </sheetData>
  <mergeCells count="1">
    <mergeCell ref="A1:P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12" customWidth="1" min="5" max="5"/>
    <col width="16" customWidth="1" min="6" max="6"/>
    <col width="9" customWidth="1" min="7" max="7"/>
    <col width="9" customWidth="1" min="8" max="8"/>
    <col width="10" customWidth="1" min="9" max="9"/>
    <col width="12" customWidth="1" min="10" max="10"/>
    <col width="16" customWidth="1" min="11" max="11"/>
    <col width="12" customWidth="1" min="12" max="12"/>
    <col width="16" customWidth="1" min="13" max="13"/>
    <col width="12" customWidth="1" min="14" max="14"/>
    <col width="8" customWidth="1" min="15" max="15"/>
  </cols>
  <sheetData>
    <row r="1" ht="22" customHeight="1">
      <c r="A1" s="1" t="inlineStr">
        <is>
          <t>구성원 고과 순위산정표</t>
        </is>
      </c>
    </row>
    <row r="3">
      <c r="A3" s="10" t="inlineStr">
        <is>
          <t>이름</t>
        </is>
      </c>
      <c r="B3" s="10" t="inlineStr">
        <is>
          <t>파트</t>
        </is>
      </c>
      <c r="C3" s="10" t="inlineStr">
        <is>
          <t>기여도</t>
        </is>
      </c>
      <c r="D3" s="10" t="inlineStr">
        <is>
          <t>성과도</t>
        </is>
      </c>
      <c r="E3" s="10" t="inlineStr">
        <is>
          <t>팀장_성과정성</t>
        </is>
      </c>
      <c r="F3" s="10" t="inlineStr">
        <is>
          <t>성과환산점수(100)</t>
        </is>
      </c>
      <c r="G3" s="10" t="inlineStr">
        <is>
          <t>SKHU학점</t>
        </is>
      </c>
      <c r="H3" s="10" t="inlineStr">
        <is>
          <t>mySuni학점</t>
        </is>
      </c>
      <c r="I3" s="10" t="inlineStr">
        <is>
          <t>AI자가점수</t>
        </is>
      </c>
      <c r="J3" s="10" t="inlineStr">
        <is>
          <t>팀장_역량정성</t>
        </is>
      </c>
      <c r="K3" s="10" t="inlineStr">
        <is>
          <t>역량환산점수(100)</t>
        </is>
      </c>
      <c r="L3" s="10" t="inlineStr">
        <is>
          <t>추천받은횟수</t>
        </is>
      </c>
      <c r="M3" s="10" t="inlineStr">
        <is>
          <t>동료환산점수(100)</t>
        </is>
      </c>
      <c r="N3" s="10" t="inlineStr">
        <is>
          <t>최종점수</t>
        </is>
      </c>
      <c r="O3" s="10" t="inlineStr">
        <is>
          <t>순위</t>
        </is>
      </c>
    </row>
    <row r="4">
      <c r="A4" s="15">
        <f>데이터입력_통합!A4</f>
        <v/>
      </c>
      <c r="B4" s="15">
        <f>데이터입력_통합!B4</f>
        <v/>
      </c>
      <c r="C4" s="15">
        <f>데이터입력_통합!J4</f>
        <v/>
      </c>
      <c r="D4" s="15">
        <f>데이터입력_통합!K4</f>
        <v/>
      </c>
      <c r="E4" s="15">
        <f>팀장_정성평가!C4</f>
        <v/>
      </c>
      <c r="F4" s="15">
        <f>(C4/10*파라미터!$B$10)+(D4/10*파라미터!$B$11)+(E4/5*파라미터!$B$12)</f>
        <v/>
      </c>
      <c r="G4" s="15">
        <f>데이터입력_통합!M4</f>
        <v/>
      </c>
      <c r="H4" s="15">
        <f>데이터입력_통합!N4</f>
        <v/>
      </c>
      <c r="I4" s="15">
        <f>데이터입력_통합!O4</f>
        <v/>
      </c>
      <c r="J4" s="15">
        <f>팀장_정성평가!E4</f>
        <v/>
      </c>
      <c r="K4" s="15">
        <f>(MIN(G4+H4,파라미터!$B$22)/파라미터!$B$22*파라미터!$B$16)+(I4/10*파라미터!$B$17)+(J4/5*파라미터!$B$18)</f>
        <v/>
      </c>
      <c r="L4" s="15">
        <f>동료추천_집계!B11</f>
        <v/>
      </c>
      <c r="M4" s="15">
        <f>MIN(L4,파라미터!$B$23)/파라미터!$B$23*100</f>
        <v/>
      </c>
      <c r="N4" s="15">
        <f>F4*파라미터!$B$4+K4*파라미터!$B$5+M4*파라미터!$B$6</f>
        <v/>
      </c>
      <c r="O4" s="16">
        <f>RANK(N4,$N$4:$N$7,0)</f>
        <v/>
      </c>
    </row>
    <row r="5">
      <c r="A5" s="15">
        <f>데이터입력_통합!A5</f>
        <v/>
      </c>
      <c r="B5" s="15">
        <f>데이터입력_통합!B5</f>
        <v/>
      </c>
      <c r="C5" s="15">
        <f>데이터입력_통합!J5</f>
        <v/>
      </c>
      <c r="D5" s="15">
        <f>데이터입력_통합!K5</f>
        <v/>
      </c>
      <c r="E5" s="15">
        <f>팀장_정성평가!C5</f>
        <v/>
      </c>
      <c r="F5" s="15">
        <f>(C5/10*파라미터!$B$10)+(D5/10*파라미터!$B$11)+(E5/5*파라미터!$B$12)</f>
        <v/>
      </c>
      <c r="G5" s="15">
        <f>데이터입력_통합!M5</f>
        <v/>
      </c>
      <c r="H5" s="15">
        <f>데이터입력_통합!N5</f>
        <v/>
      </c>
      <c r="I5" s="15">
        <f>데이터입력_통합!O5</f>
        <v/>
      </c>
      <c r="J5" s="15">
        <f>팀장_정성평가!E5</f>
        <v/>
      </c>
      <c r="K5" s="15">
        <f>(MIN(G5+H5,파라미터!$B$22)/파라미터!$B$22*파라미터!$B$16)+(I5/10*파라미터!$B$17)+(J5/5*파라미터!$B$18)</f>
        <v/>
      </c>
      <c r="L5" s="15">
        <f>동료추천_집계!B12</f>
        <v/>
      </c>
      <c r="M5" s="15">
        <f>MIN(L5,파라미터!$B$23)/파라미터!$B$23*100</f>
        <v/>
      </c>
      <c r="N5" s="15">
        <f>F5*파라미터!$B$4+K5*파라미터!$B$5+M5*파라미터!$B$6</f>
        <v/>
      </c>
      <c r="O5" s="16">
        <f>RANK(N5,$N$4:$N$7,0)</f>
        <v/>
      </c>
    </row>
    <row r="6">
      <c r="A6" s="15">
        <f>데이터입력_통합!A6</f>
        <v/>
      </c>
      <c r="B6" s="15">
        <f>데이터입력_통합!B6</f>
        <v/>
      </c>
      <c r="C6" s="15">
        <f>데이터입력_통합!J6</f>
        <v/>
      </c>
      <c r="D6" s="15">
        <f>데이터입력_통합!K6</f>
        <v/>
      </c>
      <c r="E6" s="15">
        <f>팀장_정성평가!C6</f>
        <v/>
      </c>
      <c r="F6" s="15">
        <f>(C6/10*파라미터!$B$10)+(D6/10*파라미터!$B$11)+(E6/5*파라미터!$B$12)</f>
        <v/>
      </c>
      <c r="G6" s="15">
        <f>데이터입력_통합!M6</f>
        <v/>
      </c>
      <c r="H6" s="15">
        <f>데이터입력_통합!N6</f>
        <v/>
      </c>
      <c r="I6" s="15">
        <f>데이터입력_통합!O6</f>
        <v/>
      </c>
      <c r="J6" s="15">
        <f>팀장_정성평가!E6</f>
        <v/>
      </c>
      <c r="K6" s="15">
        <f>(MIN(G6+H6,파라미터!$B$22)/파라미터!$B$22*파라미터!$B$16)+(I6/10*파라미터!$B$17)+(J6/5*파라미터!$B$18)</f>
        <v/>
      </c>
      <c r="L6" s="15">
        <f>동료추천_집계!B13</f>
        <v/>
      </c>
      <c r="M6" s="15">
        <f>MIN(L6,파라미터!$B$23)/파라미터!$B$23*100</f>
        <v/>
      </c>
      <c r="N6" s="15">
        <f>F6*파라미터!$B$4+K6*파라미터!$B$5+M6*파라미터!$B$6</f>
        <v/>
      </c>
      <c r="O6" s="16">
        <f>RANK(N6,$N$4:$N$7,0)</f>
        <v/>
      </c>
    </row>
    <row r="7">
      <c r="A7" s="15">
        <f>데이터입력_통합!A7</f>
        <v/>
      </c>
      <c r="B7" s="15">
        <f>데이터입력_통합!B7</f>
        <v/>
      </c>
      <c r="C7" s="15">
        <f>데이터입력_통합!J7</f>
        <v/>
      </c>
      <c r="D7" s="15">
        <f>데이터입력_통합!K7</f>
        <v/>
      </c>
      <c r="E7" s="15">
        <f>팀장_정성평가!C7</f>
        <v/>
      </c>
      <c r="F7" s="15">
        <f>(C7/10*파라미터!$B$10)+(D7/10*파라미터!$B$11)+(E7/5*파라미터!$B$12)</f>
        <v/>
      </c>
      <c r="G7" s="15">
        <f>데이터입력_통합!M7</f>
        <v/>
      </c>
      <c r="H7" s="15">
        <f>데이터입력_통합!N7</f>
        <v/>
      </c>
      <c r="I7" s="15">
        <f>데이터입력_통합!O7</f>
        <v/>
      </c>
      <c r="J7" s="15">
        <f>팀장_정성평가!E7</f>
        <v/>
      </c>
      <c r="K7" s="15">
        <f>(MIN(G7+H7,파라미터!$B$22)/파라미터!$B$22*파라미터!$B$16)+(I7/10*파라미터!$B$17)+(J7/5*파라미터!$B$18)</f>
        <v/>
      </c>
      <c r="L7" s="15">
        <f>동료추천_집계!B14</f>
        <v/>
      </c>
      <c r="M7" s="15">
        <f>MIN(L7,파라미터!$B$23)/파라미터!$B$23*100</f>
        <v/>
      </c>
      <c r="N7" s="15">
        <f>F7*파라미터!$B$4+K7*파라미터!$B$5+M7*파라미터!$B$6</f>
        <v/>
      </c>
      <c r="O7" s="16">
        <f>RANK(N7,$N$4:$N$7,0)</f>
        <v/>
      </c>
    </row>
    <row r="10">
      <c r="A10" s="17" t="inlineStr">
        <is>
          <t>※ 순위는 최종점수 내림차순 기준(RANK). 정렬해서 보려면 표를 선택한 뒤 데이터&gt;정렬을 이용하세요. 이 시트를 CSV로 저장해 ranking_dashboard.html에서 불러오면 그래프로 확인할 수 있습니다.</t>
        </is>
      </c>
    </row>
  </sheetData>
  <mergeCells count="2">
    <mergeCell ref="A10:O10"/>
    <mergeCell ref="A1:O1"/>
  </mergeCells>
  <conditionalFormatting sqref="N4:N7">
    <cfRule type="colorScale" priority="1">
      <colorScale>
        <cfvo type="min"/>
        <cfvo type="max"/>
        <color rgb="00FCE8E6"/>
        <color rgb="00CDE2F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2026-09-17T23:16:06Z</dcterms:created>
  <dcterms:modified xsi:type="dcterms:W3CDTF">2026-09-17T23:31:23Z</dcterms:modified>
</cp:coreProperties>
</file>